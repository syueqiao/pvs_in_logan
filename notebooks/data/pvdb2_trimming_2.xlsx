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qjes\Documents\rnalab_2024\pv_project\"/>
    </mc:Choice>
  </mc:AlternateContent>
  <xr:revisionPtr revIDLastSave="0" documentId="8_{A10A208F-A5ED-43DF-ABCE-41373E9F60C8}" xr6:coauthVersionLast="47" xr6:coauthVersionMax="47" xr10:uidLastSave="{00000000-0000-0000-0000-000000000000}"/>
  <bookViews>
    <workbookView xWindow="19090" yWindow="-9620" windowWidth="38620" windowHeight="21100" activeTab="1" xr2:uid="{35553BA7-2EFC-41EB-AD93-AEBA1EA9AD88}"/>
  </bookViews>
  <sheets>
    <sheet name="Sheet2" sheetId="2" r:id="rId1"/>
    <sheet name="Sheet3" sheetId="3" r:id="rId2"/>
    <sheet name="Sheet1" sheetId="1" r:id="rId3"/>
  </sheets>
  <definedNames>
    <definedName name="_xlnm._FilterDatabase" localSheetId="0" hidden="1">Sheet2!$A$1:$I$65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2" l="1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67" i="2"/>
  <c r="I68" i="2"/>
  <c r="I67" i="2"/>
  <c r="H68" i="2"/>
  <c r="H67" i="2"/>
  <c r="I89" i="2"/>
  <c r="I87" i="2"/>
  <c r="I86" i="2"/>
  <c r="I84" i="2"/>
  <c r="I83" i="2"/>
  <c r="I82" i="2"/>
  <c r="I81" i="2"/>
  <c r="I71" i="2"/>
  <c r="I69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67" i="2"/>
  <c r="I3" i="2"/>
  <c r="J41" i="2"/>
  <c r="J29" i="2"/>
  <c r="I45" i="2"/>
  <c r="I34" i="2"/>
  <c r="I31" i="2"/>
  <c r="J31" i="2" s="1"/>
  <c r="I29" i="2"/>
  <c r="I28" i="2"/>
  <c r="I26" i="2"/>
  <c r="I23" i="2"/>
  <c r="I18" i="2"/>
  <c r="I11" i="2"/>
  <c r="I10" i="2"/>
  <c r="I9" i="2"/>
  <c r="J9" i="2" s="1"/>
  <c r="I5" i="2"/>
  <c r="I52" i="2"/>
  <c r="I42" i="2"/>
  <c r="I39" i="2"/>
  <c r="I38" i="2"/>
  <c r="I37" i="2"/>
  <c r="I36" i="2"/>
  <c r="I35" i="2"/>
  <c r="I33" i="2"/>
  <c r="I32" i="2"/>
  <c r="I30" i="2"/>
  <c r="I27" i="2"/>
  <c r="I25" i="2"/>
  <c r="I24" i="2"/>
  <c r="I22" i="2"/>
  <c r="I21" i="2"/>
  <c r="I20" i="2"/>
  <c r="I19" i="2"/>
  <c r="I17" i="2"/>
  <c r="I16" i="2"/>
  <c r="I15" i="2"/>
  <c r="I14" i="2"/>
  <c r="I13" i="2"/>
  <c r="I12" i="2"/>
  <c r="I8" i="2"/>
  <c r="I7" i="2"/>
  <c r="I6" i="2"/>
  <c r="I4" i="2"/>
  <c r="I2" i="2"/>
  <c r="H45" i="2"/>
  <c r="H40" i="2"/>
  <c r="J40" i="2" s="1"/>
  <c r="H34" i="2"/>
  <c r="J34" i="2" s="1"/>
  <c r="H28" i="2"/>
  <c r="H26" i="2"/>
  <c r="H23" i="2"/>
  <c r="H18" i="2"/>
  <c r="H11" i="2"/>
  <c r="H10" i="2"/>
  <c r="J10" i="2" s="1"/>
  <c r="H9" i="2"/>
  <c r="H5" i="2"/>
  <c r="H3" i="2"/>
  <c r="E52" i="2"/>
  <c r="E4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2" i="2"/>
  <c r="J45" i="2" l="1"/>
  <c r="J5" i="2"/>
  <c r="J18" i="2"/>
  <c r="J23" i="2"/>
  <c r="J26" i="2"/>
  <c r="J3" i="2"/>
  <c r="J11" i="2"/>
</calcChain>
</file>

<file path=xl/sharedStrings.xml><?xml version="1.0" encoding="utf-8"?>
<sst xmlns="http://schemas.openxmlformats.org/spreadsheetml/2006/main" count="435" uniqueCount="163">
  <si>
    <t>NC_000913.3_sliding:280801-281800</t>
  </si>
  <si>
    <t>-</t>
  </si>
  <si>
    <t>papilloma.Late_protein_L2.Papillomavirus_sp._species:SRR24580106_0_ka_f_11.052_534_10524_8857_REVERSE_SENSE_</t>
  </si>
  <si>
    <t>14M1I19M6I7M1I60M8I6M</t>
  </si>
  <si>
    <t>QQLVSVFERYGLPDRMTMDNGSPWGDTTGTWTALELWLMRLGIRVGHSRPYHPQTQGKLERFHRSLKAEVLQGKWFADSGELQRAFDHWRTVYNLERPHEALDMAVPGSRYQPSARQYSGNT</t>
  </si>
  <si>
    <t>AGGTGGTCGGGGACATGGTGAACACTTTTTAACATCCTTTACCCATGGTGATCGACTTTTTCTTCAGGTCGATCACCCCCACTTTCGTGCTGTACCACCACACCTCGTAGCTGCCGTCTTCCTGCATCTCCTTCAGCCCGACCCGTTCTCCCCTGAACGCCTTGCCTGCGCTCAGACTTACCCCTTTCACGCTCAGCTTTCCGCTGATATCCACTTTCCTGACCATCACCCCTTCATCGTATTCCGGGGGCGTTGTGTTGCCGCTGTACTGCCGCGCTGACGGCTGATACCGCGAGCCCGGTACCGCCATATCCAGCGCCTCGTGCGGGCGTTCAAGGTTATAGACCGTCCGCCAGTGGTCGAAGGCGCGCTGCAGTTCACCGCTGTCTGCGAACCATTTTCCCTGCAGCACTTCCGCCTTCAGGCTGCGGTGAAAACGCTCCAGCTTCCCCTGCGTCTGCGGATGATAAGGCCGGGAGTGCCCCACCCGGATACCCAGGCGCATCAGCCACAGCTCCAGCGCCGTCCAGGTGCCGGTGGTGTCGCCCCACGGTGAGCCGTTATCCATGGTCATCCGGTCCGGCAGGCCGTAACGCTCAAACACGCTGACCAGCTGCTGCTGCACGGTCTCGCGCCGTTCATCGGTACAGTGCGCCAGGCACAGGGAAAAACGGGAGTGGTCGTCCAGCAGGGTGAGCGGATGGCAGCGTCCACCGCCAAAAGGAAAGTGGCCCTTAAAATCCATCTGCCAGAGGCGGTTCGGCGCGTCGTGTTCGAACCGGCCCGTGGCGGGAATGCCCGGTGAAGCGCCCGGCAGCAGGCCATGGCGGGCCATCAGGTTATGGACGGTGCTGAAGGCGGGCATGGTGTGCCCCTGGTCCTCGAGCCAGCGCTTAATCTTGCGGGCTCCCCAGCGTTCATGACGGTCATGGGCCATACGCAGCAGGGCCGTGATGTCGTCAGATGAGCGGTTCGGGGAATGGTGCGGAATGCGCGGGCG</t>
  </si>
  <si>
    <t>*</t>
  </si>
  <si>
    <t>NC_000913.3_sliding:365601-366600</t>
  </si>
  <si>
    <t>papilloma.Late_protein_L1.Human_papillomavirus_species:SRR8567683_116_ka_f_2900.737_L_19_L_715_L_306_L_307_7_3_377_</t>
  </si>
  <si>
    <t>51M</t>
  </si>
  <si>
    <t>LRIHWPSFYNVVTGKTLALPNLIALQHIPLSPAGVIAKRPAPIALPNSCAA</t>
  </si>
  <si>
    <t>ATCATCATTAAAGCGAGTGGCAACATGGAAATCGCTGATTTGTGTAGTCGGTTTATGCAGCAACGAGACGTCACGGAAAATGCCGCTCATCCGCCACATATCCTGATCTTCCAGATAACTGCCGTCACTCCAGCGCAGCACCATCACCGCGAGGCGGTTTTCTCCGGCGCGTAAAAATGCGCTCAGGTCAAATTCAGACGGCAAACGACTGTCCTGGCCGTAACCGACCCAGCGCCCGTTGCACCACAGATGAAACGCCGAGTTAACGCCATCAAAAATAATTCGCGTCTGGCCTTCCTGTAGCCAGCTTTCATCAACATTAAATGTGAGCGAGTAACAACCCGTCGGATTCTCCGTGGGAACAAACGGCGGATTGACCGTAATGGGATAGGTCACGTTGGTGTAGATGGGCGCATCGTAACCGTGCATCTGCCAGTTTGAGGGGACGACGACAGTATCGGCCTCAGGAAGATCGCACTCCAGCCAGCTTTCCGGCACCGCTTCTGGTGCCGGAAACCAGGCAAAGCGCCATTCGCCATTCAGGCTGCGCAACTGTTGGGAAGGGCGATCGGTGCGGGCCTCTTCGCTATTACGCCAGCTGGCGAAAGGGGGATGTGCTGCAAGGCGATTAAGTTGGGTAACGCCAGGGTTTTCCCAGTCACGACGTTGTAAAACGACGGCCAGTGAATCCGTAATCATGGTCATAGCTGTTTCCTGTGTGAAATTGTTATCCGCTCACAATTCCACACAACATACGAGCCGGAAGCATAAAGTGTAAAGCCTGGGGTGCCTAATGAGTGAGCTAACTCACATTAATTGCGTTGCGCTCACTGCCCGCTTTCCAGTCGGGAAACCTGTCGTGCCAGCTGCATTAATGAATCGGCCAACGCGCGGGGAGAGGCGGTTTGCGTATTGGGCGCCAGGGTGGTTTTTCTTTTCACCAGTGAGACGGGCAACAGCTGATTGCCCTTCACCGCCTGGCCCTGAGAGAGTTGCAGCA</t>
  </si>
  <si>
    <t>NC_000913.3_sliding:1476801-1477800</t>
  </si>
  <si>
    <t>papilloma.Late_protein_L2.bat_metagenome_species:SRR25288499_93898_ka_f_9.196_8_7_345_</t>
  </si>
  <si>
    <t>19M9D22M13I18M</t>
  </si>
  <si>
    <t>LTPAKDHVSASPLIHQLENGDYSSPQSTTRDQFLPPVLQAVCGGC*XXXX*XX*DCFSPVYSTIYDPVVLPV</t>
  </si>
  <si>
    <t>AAAATAATCCGAAAGCAGATTCAGATGCATATGAAACCAGCGCTGATATGATTTTGTCTGAGCTGATTAGCCACGGCGAAGTTGATGACCAGATGCTATTAAATGCCACCGCCCTGATACGTTCGGACGACTGGGACTTTTTAGAGAGTGCATTAATTAGTTGGGATAATTTACCCGCTGTTGTTCTCAAGGAATTACAGCAAAACACGCCACGCAATGATATTTGGGCGAAGTTTTTTCTGAGGCAGGAAAACAGTTCCCGTGCGCAGGTTGACGAAGCGTTACGTGTTTATTATGCACTAGACCCCGATGCGTTAGCACAACTGGATGTACTGGCAAAACAACCGGATCGTATATGGTGGAGTACACTGGCGAAAAGCAATCTCACATTTTTCAAGTTCGGCGCACTTAACAACCGCCACACACCGCCTGCAGTACTGGCGGCAGAAATTGATCCCGAGTGGTGGATTGTGGCGATGAATAATCCCCGTTTTCCAGTTGATGTATTAAAGGCGAGGCTGAAACGTGATCCTTTGCTGGCGTTAGAGCTTGTTAACCCTGAACTGGATTTAGTCCGCCAGCTGGCGCTTAACGGTAAGACGCGCGCAATACGGGAACAAGCGATGAGAAAACTTGATGAGTTGTATTGATCCACAACGTAATGTTTTTTAACTATCTGATTAATTGGGGATAATCATTCCTGACAGTGAGTCCCCAATACCTTGATATATTCTGAATTTTTAATGAAACGGCGTGTTGCGATATCTCCGTCAGGGGAATTGATGCACCATAGCGCAAACCGAATTATCAAGGATTGATAATGACGCTCTACCAGATAAAACCGCTCTTTCAGTCGCTGTTAAGGCCGACGATGTTTTGGCTTTATAAGCACCACGTTACAGCGAATCACATCACTCTTGCTGCACTGGCGCTTTCTCTTCTTACCGGATTGCTGTTGATGTTGGCGGCACAACCCATCCTCTTTTTGCTATTGCCCATC</t>
  </si>
  <si>
    <t>NC_000913.3_sliding:3908001-3909000</t>
  </si>
  <si>
    <t>papilloma.PPV_E1_C.Cacia_cretifera_thibetana_subspecies:SRR14480190_26970_ka_f_6.630_L_3758_L_18299_17_2_634_</t>
  </si>
  <si>
    <t>61M</t>
  </si>
  <si>
    <t>ETAPSKIQVRNLNFYYGKFHALKNINLDIAKNQVTAFIGPSGCGKSTLLRTFNKMFELYPE</t>
  </si>
  <si>
    <t>GGAGAGCTTCTCAAACAGACGAACGCCAAAAGCGATGTTGTCGTAGATGGACATCGGAAACGGCGTCGGTTTCTGGAACACCATGCCCACTTTCGCACGCAGCAGTGCGATATCCTGAGAGTTGGTCAGGATGTTGTCGCCATCAAGCAGAATTTCACCTTCCGCACGCTGCTCCGGGTACAGTTCAAACATTTTGTTGAAGGTACGCAGCAGCGTCGATTTACCGCAGCCGGACGGCCCGATAAACGCCGTTACCTGGTTTTTAGCGATATCCAGGTTGATGTTTTTCAGGGCATGGAATTTGCCGTAGTAGAAGTTCAAATTACGAACCTGAATTTTACTCGGGGCAGTTTCAACCATACTCATTGCAATCTTTTCCTCATCGTGCCTGATGCACTTCGCTAATCAGGCTTACCGTAGGCCGGATCAGGCGTTCACGCCGCATCCGGCAAAGTGTTAACCGTGTACAGAGTCAAAAAGGCGCTCGGTCGGTCCCCTCGCCCCTCTGGGGAGAGGGTTAGGGTGAGGGGAAAACCGTGTCAGCAATATCAACCGTGTTTATTCTTCGCAAAAACAACGCGCGCCAGAATGTTCAGCAGCAGTACGCACAGGGTAATGATCAATACCCCGGCCCAGGCCAATTGCTGCCATTCCGCAAACGGGCTCATCGCAAACTTAAAGATCGTCACCGGCAGGTTGGCGATCGGCTGCATCATGTCCGTGCTCCAGAACTGGTTGGAGAGCGCGGTAAACAGCAGCGGCGCGGTTTCACCAGCAATACGGGCAATCGCCAGCAGGATACCGGTCATAATCCCGGACACCGACGCTTTCAGCGTAATCGCAGAGATCATCTTCCACTTCGGTGTACCCAGCGCATAAGCCGCTTCACGCAGGCTGTACGGCACCAGTTTCAGCATGTTCTCGGTGGTGCGGATAACAATCGGCACCTGCAACAACGCCAGGGCAATCACGCCCGCCCAGCCGGAGAAGTGCTCCATCT</t>
  </si>
  <si>
    <t>NC_000913.3_sliding:4339201-4340200</t>
  </si>
  <si>
    <t>papilloma.Late_protein_L1.Bandicoot_papillomatosis_carcinomatosis_virus_type_2:EU277647</t>
  </si>
  <si>
    <t>9M2I23M1D20M2I20M1D29M</t>
  </si>
  <si>
    <t>DLLEKTSDRLHFDEAWYGYARFNPIYADHYAMRGEPGDHNGPTVFATHSTHKLLNALSQASYIHVREGRGAINFSRFNQAYMMHATTSPLYAICASNDVAVSMMD</t>
  </si>
  <si>
    <t>TGCCGTCCATCATCGACACCGCCACGTCGTTGGATGCGCAGATGGCATACAGCGGGGAGGTGGTGGCATGCATCATGTAGGCCTGGTTGAAGCGGGAGAAGTTAATCGCCCCACGACCTTCACGTACATGAATATAAGAAGCCTGTGACAGCGCATTCAGCAGTTTGTGGGTGGAGTGGGTGGCGAAAACGGTAGGACCGTTGTGATCGCCAGGTTCGCCGCGCATGGCATAGTGATCGGCATAGATCGGGTTGAAACGTGCATAGCCGTACCAGGCTTCGTCAAAGTGCAGACGATCGGAGGTTTTTTCCAGCAGATCCTGCGCTTCTTTAGCGTTATAACACACGCCGTCATAGGTGCAGTTGGTCACCACGCAGTAAGACGGTTTTTGCCCGGCTTTGTCTTTGGTCAGCGGGCTTTCACTGATTTTCTTCTGCAAGGTTTCAGGTTGCATTTCCTGCGGATAGATTGGCCCGATAATGCCGTAGCGGTTGCGGCTTGGCACCATATAGACCGGTTTCGCGCCTGTCAGCATCAAACCTTGTTCGATGGATTTATGGCAGTTACGGTCAACGACCACGACATCGTTATCGGTCATGCAAGCCTGCATGATGGTGCGGTTAGAGCCGGAAGTACCGACGACTACCGACCAGGAGCGATCGGCACCAAATACGCGTGCGGCATATTTTTCGCTTTCGCCAAATGCGCCAGTATGGTCAAGCAAAGAACCGAGGGAAGTTCGTTCGATGCCCATGTCGGTGCGGAACAGATTTTCACCATAGTAGTCATGGTAGAAACGTCCGGCGGGTGTTTTGGTAAAACCAACGCCGCCCTGGTGGCCTGGCGCTGCCCAGGAATATTCATGGATGTCACTATATTTCATCAGCGCGCTGAACAGTGGCGGCAACAGCTGCTGGCGGTAGCGGGTCATCGCGGCAACGGCGCGTCCGGCGATAAAGTCGGCGGTATCTTCCAGAATCCAGGCGAATTCATCGACAAG</t>
  </si>
  <si>
    <t>NC_000913.3_sliding:4608801-4609800</t>
  </si>
  <si>
    <t>+</t>
  </si>
  <si>
    <t>papilloma.PPV_E1_C.invertebrate_gut_metagenome_species:SRR15239524_51446_ka_f_6.672_9_2_385_</t>
  </si>
  <si>
    <t>41M24I7M3D30M</t>
  </si>
  <si>
    <t>KRRTFAIISHPDAGKTTITEKVLLFGQAIQTAGTVKGRGSNQHAKSDWMEMEKQRGISITTSVMQFPYHDCLVNLLDTPGHEDFSEDTYRTLTAVDCCLMVI</t>
  </si>
  <si>
    <t>TTATCAAAACGGCGCGATCACTTCATTACAGCTTCAGCACGGGCGGTTTGAGAGCTGGGCCGAACGGCTGAACGTCGAGCCAGGTAAACTCAACGAAGCCTTTATTAATGCGATGGCGGAAATCTGCACGCCGCTGCCGGGCGCGGTTTCTCTGCTTAACGCCATTCGTGGCAACGCCAAAATCGGCATCATCACCAACGGCTTTAGTGCCTTGCAACAGGTGCGTCTGGAACGCACGGGCCTGCGTGATTACTTCGATTTGCTGGTGATTTCCGAAGAAGTTGGCGTTGCCAAACCGAATAAGAAAATTTTCGATTATGCGCTGGAACAGGCGGGCAATCCTGACCGTTCACGCGTGCTGATGGTTGGCGACACTGCCGAGTCCGATATTCTCGGTGGCATCAACGCCGGGCTTGCGACCTGCTGGCTGAATGCACACCATCGCGAGCAACCAGAAGGCATCGCGCCCACCTGGACCGTTTCTTCGTTGCACGAACTGGAGCAGCTCCTGTGTAAACACTGATTGCCTCCCCCCCGTTGATGGGTAAAATAGCCGCAATTTTTCGTTTTCAACAAGCGCGGCGCGATGCCGCTTACTCAAGAAGAAAGAATTATGACGTTGTCTCCTTATTTGCAAGAGGTGGCGAAGCGCCGCACTTTTGCCATTATTTCTCACCCGGACGCCGGTAAGACTACCATCACCGAGAAGGTGCTGCTGTTCGGACAGGCCATTCAGACCGCCGGTACAGTAAAAGGCCGTGGTTCCAACCAGCACGCTAAGTCGGACTGGATGGAGATGGAAAAGCAGCGTGGGATCTCCATTACTACGTCTGTGATGCAGTTTCCGTATCACGATTGCCTGGTTAACCTGCTCGACACCCCGGGGCACGAAGACTTCTCGGAAGATACCTATCGTACCCTGACGGCGGTGGACTGCTGCCTGATGGTTATCGACGCCGCAAAAGGTGTTGAAGATCGTACCCGTAAGCTGATGGAAGTT</t>
  </si>
  <si>
    <t>chrIV_sliding:1141601-1142600</t>
  </si>
  <si>
    <t>papilloma.PPV_E1_C.metagenome_species:SRR13726009_2016_ka_f_10.613_132_1397_3_REVERSE_SENSE_</t>
  </si>
  <si>
    <t>12M1D34M2D14M4I6M2I15M26I34M4I25M</t>
  </si>
  <si>
    <t>IIRLLETLKTCLNWPLTEVIVRNDVLSSLLTCLSSNIPRAQSMALDSIHILLTRPYSNESHYQMTIDRVFDNMDLLDSVYESLLFDPTDDIDETKYPIIKKFVDMISCLYVCVPKIKETNGQIQKYFKLVLKTTYNPSLIVSGLTLDLWCTCLRNDEYLPKLEKYVIPDLLQFAAD</t>
  </si>
  <si>
    <t>ACCTTTTCGAACTTTGGAACATAAATCAATCGTCAAGAGAACTAGCATTAATAATTTTCAGAATCCTTTTTGAAGATGTTTTCTTGTTGGACGACCTAATTGTTTTGAAAAGGATGACGGTTATTCAACCCTTATGTGTAATGATTGTTTGCCCTATTGAAGTTTTCGCAATAAAATACAAATTCAGTGATAAATGGACCAAATTTAAAGCTAATGAAGAGGGCTGGTTTTCTGTTTGGATTCCAGAGTTGAATAATGCATTACAACAGAATAATTCTGAATACATCATAAGGCTTTTAGAAACTCTGAAGACGTGTTTAAACTGGCCATTAACAGAGGTCATTGTAAGAAATGACGTGTTATCCTCCTTATTGACTTGTTTATCCAGCAATATCCCAAGGGCGCAGTCAATGGCATTAGACTCGATACATATTCTGTTGACCCGTCCCTATAGTAATGAAAGCCATTACCAAATGACCATAGATCGAGTTTTTGATAATATGGACTTATTAGATAGCGTTTATGAAAGCTTGTTGTTTGATCCTACAGATGATATAGATGAAACGAAATATCCTATAATTAAAAAGTTCGTGGATATGATCAGTTGTCTCTATGTTTGTGTCCCAAAGATTAAGGAGACAAATGGCCAAATTCAAAAATATTTTAAGCTTGTATTAAAGACAACTTATAACCCAAGCTTAATCGTTAGCGGATTAACATTAGACCTATGGTGTACCTGTCTTCGAAACGATGAATACTTACCCAAGCTGGAGAAATATGTCATTCCTGATCTACTACAGTTTGCCGCGGATGCTTTAGTCTATTATGAACAGATTGATGGTCATATTTCCAAAAAATTTGCGGAGATTGATTTTCAATCCAAGTCCGAATTTCAAACATTTTGTTCCACTTATAGGAAAAGAATAAGAGACATCATTAGGTTGATTTCTTGCGTCGAATTAGACCTTACTTATGATTGGTTGAACAACAGATTAAACAA</t>
  </si>
  <si>
    <t>chrIV_sliding:1468801-1469800</t>
  </si>
  <si>
    <t>papilloma.Late_protein_L2.Mus_musculus_species:SRR6976422_141735_ka_f_22.511_L_178448_16_458_207_REVERSE_SENSE_</t>
  </si>
  <si>
    <t>52M</t>
  </si>
  <si>
    <t>EAFAKRQGKEMDSLRFLYDGIRIQADQTPEDLDMEDNDIIEAHREQIGGATY</t>
  </si>
  <si>
    <t>CCATCCGCTTTCTTTTCATGCGGCGTTATTCTTTTTTCCTATTTTTGATGGTCCCTGTGCCGTTTCTTTTTCATGTTCACCGGTTTTTGGCGCCGCATACCGTACGGCGGGGCACTTTTGAAACGTTTTTGTGCATCCTGATGCCGTTTTCAAGGATCGCAAGCACGTCGCATAATACGGTAATGCCGAATTAAGGCTACGTCGTCATAGTAGGTTAGTCATGCGCGTTGGAAAAAGAAATGACCAACGCGTTGATTACGTAGTCCCCAAGGAATAATGCTTTTGAAAGTGAAAAAAAAAAATAAAACTGAAAAAAGCCATGCTGTTTCCATCACGTGCATGTCACGTTTTTGCCGCCGAACTCTTTGATCATGTGATATGAATATGTTGGGTTACCCAGCTTTGCCAACACGCGCCGTCGGAAGGTGTTCAGGAAGCAGGAAAAGAGCAAAACACCAACAATCAAACAAACGAACACATTCTACTCTTTTAGTTGATTTTTCTTACCTTTTCCAAGCTCCCGTTTCTTGTTACCACCTGTAGCATATAGGACAGAAGGACCCAGTTCAGTTCTAGTTTTACAAATAAATACACGAGCGATGTCGGACTCAGAAGTCAATCAAGAAGCTAAGCCAGAGGTCAAGCCAGAAGTCAAGCCTGAGACTCACATCAATTTAAAGGTGTCCGATGGATCTTCAGAGATCTTCTTCAAGATCAAAAAGACCACTCCTTTAAGAAGGCTGATGGAAGCGTTCGCTAAAAGACAGGGTAAGGAAATGGACTCCTTAAGATTCTTGTACGACGGTATTAGAATTCAAGCTGATCAGACCCCTGAAGATTTGGACATGGAGGATAACGATATTATTGAGGCTCACAGAGAACAGATTGGTGGTGCTACGTATTAGGACTCTTAACAATGCCTAAAAAACGCCAACAAACCTCTCCCTTCCCCCCACCCACCAAAAAATACCATAGTAATGAAAAAACTAAATAATTCATA</t>
  </si>
  <si>
    <t>chrV_sliding:44001-45000</t>
  </si>
  <si>
    <t>papilloma.Late_protein_L1.human_gut_metagenome_species:ERR10682572_523403_ka_f_4.100_19_293_3_REVERSE_SENSE_</t>
  </si>
  <si>
    <t>80M</t>
  </si>
  <si>
    <t>LAILKMSPMDWDEEYTDLPNKLVKCIVPDRSIFQTTDQERKLLNPVGLQDKIDLVVAKYPMGRSFVRASGTEDAVRVYAE</t>
  </si>
  <si>
    <t>GGAGCAAGTTGAGGTAATCAACGACAGGTCCGATGTTCCAGAACTGTTGAATTTTGAATGCGGTGCGGATTATGTGAAGACTAACCAGAGATTACCCAAGGGTCTTTCTCCATCCTCGTTTGATTCGCTATATTGCTCCTTTGATGGTGACGCAGACAGGGTTGTGTTCTACTATGTCGACTCAGGATCAAAATTTCATTTGTTGGATGGTGACAAAATTTCCACTTTGTTTGCAAAGTTCTTGTCTAAACAACTAGAATTGGCACACCTAGAACATTCTTTGAAGATTGGTGTTGTGCAAACTGCCTATGCAAACGGCAGTTCCACCGCTTACATAAAAAATACGTTGCACTGTCCCGTGTCTTGCACTAAGACAGGTGTTAAACACTTGCATCATGAAGCTGCCACTCAGTACGATATTGGCATTTATTTCGAAGCAAATGGACATGGTACGATTATATTCAGCGAAAAATTTCATCGAACTATCAAATCTGAATTATCCAAGTCCAAGTTAAATGGTGATACGTTAGCTTTGAGAACTTTGAAGTGTTTCTCTGAATTGATTAATCAGACCGTGGGAGATGCTATTTCAGACATGCTTGCTGTCCTTGCTACTTTGGCGATTTTGAAAATGTCGCCAATGGATTGGGATGAAGAGTATACTGATTTGCCCAACAAGCTGGTTAAGTGCATCGTTCCTGATAGGTCAATTTTCCAAACCACGGACCAGGAAAGAAAATTGCTCAATCCAGTGGGGTTGCAAGACAAGATAGATCTTGTGGTAGCCAAGTATCCCATGGGAAGAAGCTTTGTCAGAGCCAGTGGTACGGAGGATGCGGTGAGGGTTTATGCGGAATGTAAGGACTCCTCTAAGTTAGGTCAATTTTGTGACGAAGTGGTGGAGCACGTTAAGGCATCTGCTTGAAAGCATTATTCGATGTATAGTATAGCTATTTAGATATACAGAGAGATAAATGAAAGAGAAAAAATATTGGTATCA</t>
  </si>
  <si>
    <t>chrVII_sliding:339201-340200</t>
  </si>
  <si>
    <t>papilloma.Late_protein_L2.human_skin_metagenome_species:SRR14825066_194_ka_f_7.867_21_2_1024_</t>
  </si>
  <si>
    <t>24M1D35M6D14M2I19M3I39M5D34M</t>
  </si>
  <si>
    <t>NPFGGTWTFKVNHFSIWGLVNEEDAEIDEDDLSKQEDGGEQPLRKVRTLAQSKPSDKEVILKTDGTFGTLSGKDDSIVEEKAYEPDLSDADFEGIEASPKLDVSKDWVEQLILAGSSLRSVFATSKEFDGPCQNEIDLLFSECNDEIDNAKLIMKERRFTASYTFAKFST</t>
  </si>
  <si>
    <t>TTTGAATGGAAAGGAGCAATCGAATAACTTGAATAAACAAGACGGCGAAAATACTTTACAACATGAAAAGTCATCAAGTTTTGGTTATTGGTGTTCTCCTTCCCCAGAACAGCTGGAGCGTTTGTCATTGAAGCAATTAGCGGCCGTTTCAAATTTTGTTATCGGGAGAAGAGGTTATGGTTGTATTACATTTCAACATGATGTGGATCTCACAGCTTTTACCAAAAGCTTTAGAGAAGAACTATTCGGTAAAATTGTAATATTTCGTTCCTCTAAGACAGTAGAAGTATATCCTGACGAAGCCACCAAACCAATGATTGGGCATGGGTTAAACGTTCCCGCTATAATCACTCTAGAGAATGTTTATCCTGTAGATAAAAAAACAAAAAAACCGATGAAAGATACGACGAAGTTTGCTGAATTTCAAGTTTTTGACAGGAAACTAAGAAGCATGAGGGAAATGAACTATATATCCTATAATCCCTTTGGCGGGACTTGGACTTTCAAAGTCAATCATTTTAGCATTTGGGGGTTAGTCAATGAAGAAGATGCGGAAATAGATGAAGACGATTTGAGTAAACAAGAAGACGGCGGTGAGCAACCATTAAGAAAGGTGCGCACGTTAGCGCAATCAAAACCATCGGATAAAGAGGTTATCCTCAAAACAGATGGCACTTTTGGAACTCTATCAGGTAAAGACGACTCTATCGTTGAGGAAAAGGCATACGAACCTGATTTGTCTGATGCGGACTTTGAGGGAATTGAAGCTTCCCCTAAACTTGACGTTTCTAAGGATTGGGTAGAACAATTAATTTTAGCTGGGTCTTCACTACGTTCTGTGTTTGCCACTTCTAAAGAATTTGACGGGCCATGTCAAAATGAAATAGATTTACTCTTTTCCGAATGCAATGATGAAATTGATAACGCAAAACTCATCATGAAGGAAAGAAGATTTACAGCCTCTTATACGTTTGCAAAATTTTCAACAGGTTCAATGCTA</t>
  </si>
  <si>
    <t>chrVII_sliding:592801-593800</t>
  </si>
  <si>
    <t>papilloma.PPV_E1_C.bat_metagenome_species:SRR25288601_30447_ka_f_4.200_10_1_348_</t>
  </si>
  <si>
    <t>PKLSCPLLHGPLNYPSFIVCNMKLHFCSQAASSFPSPNPSNFLLPVASCLI</t>
  </si>
  <si>
    <t>TGCGTAAACAAGCTTGCTCTTCATACCCCTCCCGTGGAGCTAGTTCGGAAGGACTATTGGCGCATCTTCTGTTGAGAGGTTCCGTAATTCTCCGTAACGTCCCGTTCACCACTTTGCATGTGCTCTCACGTACGGCCGTCTCTTTTCGGCCTTCGGCCCGTTCCGATTTTTGTACCCCTTACGTGCTTTGAATTCTAGAAGGCATCTCCTCTCCGATGGCTTGGTACAGGGAGCACTAGGGAAATTGCACATGGAAGTATCTGGAATACAAAGTTTTTGAAAAGAAAAGCCGAGCGTAATATTGGGACAATACCCAGTTCTCAGCCTTTTCAGCGCGGGTATGAGACAGCTTGCAACAGGTAAAAGGAAGTTAGAAGGGTTAGGTGAAGGGAACGATGATGCTGCCTGAGAACAAAAATGCAGCTTCATGTTACATACAATAAAGGAAGGATAATTAAGGGGACCATGCAATAAGGGACAACTTAATTTTGGAAAAATCGGAGCTTAGTTGCATCTACCTACTAATACTTTCCCCAAAGAATAATAATACGAGTACAATACATATATATATATATATATAATATACACATGTAAGTGATGACTATTCTTAATACAAAAAAATTTCCCTTTTATAATAACTATTCTTAGCATTAAATAACCCGTTACTGACAAAAAGCATATAACATAGGACTCAAGATCGACTCTCATACCCTCCGAATCAAATTCTCACTCGTATACGCAATCATTTAAATAAGCACATCATTATCAGCATATACCGAATAATAAAAAGCAAAAATGTATACAAAACTAAGATCTATACAATCAGGAACATTTAGCACAGTTTATAAAGCATGGAGTACTACACATAACCGCTACGTCGCTTTAAAGATTACTCCTAAATACAAAACTTCAGAAGCCAACATGAAGAACGAGTATGATGTAATGAAGATTTTGAGTTCTTGTAATCCTCACCCCAACATCTGTTCGATGCTCGACTTTT</t>
  </si>
  <si>
    <t>chrXII_sliding:152801-153800</t>
  </si>
  <si>
    <t>papilloma.PPV_E1_C.bat_metagenome_species:SRR25288822_417708_ka_f_3.600_4_1_222_</t>
  </si>
  <si>
    <t>14M6D27M</t>
  </si>
  <si>
    <t>TNIINWVNLIQFLRPNGPQIELPFFKNSLLMTCMVVFYPRN</t>
  </si>
  <si>
    <t>AGGAAAAGTCCTGTTCAAGGTCAATTTTACCTTCTACAAAATGGTACAGAAGTGATGGTTTTGTGTACCCACGATCCTCATTAAAAGAGGCTTGTGGTACAAATATGGTGATTTTCCTTCCGTTTTGAATGAATTTTTCAAGGTCTCTGAAGTATAACTCCTTTACGAATTCTGAGCAGTTCAAACCGTGCAAGTACTTTTCAGCATCAAACTGTATATGCGTTCGTAAAAAGTCTAAGTCAGAAAATCCATGCACGACGCCTATTTCAAAAATTCTGTTTGATATGGGTGAGTAATCTGAATTATTTACACTTACTGATGTACCTTCTGAATTACTCTTCATAAAAAGTTTTCGATTGTTTTTATTTTCTAAAATTAGTTCCTTGGGTAAAATACCACCATACACGTCATCAATAATGAGTTCTTGAAGAAGGGAAGTTCTATCTGCGGCCCATTTGGCCTGAGAAATTGTATTAGATTTACCCAATTTATTATATTTGTCAAGTAGATAGTTTATTTCGATTGTATTGAAGAATTTTCGAAAATTAACATCTAAGGGCACTAAAACTGTGGATGAGTTTGTATATGCATTATAGTTTGAAAAACTGCTGATAAAATCACTAAATATCTTTAAATCTTGGGTTTCTTCATCTAGTTGTACCAGCAACTCATTTATTTGAGGTTGAATTAGTAAAAGATTGTTAATACCTTGTAATGAAGCATTCTGGAAACTAGGCAGCAAATCGGGTTCGACAACAGCAATTTCATTGACAAAGCAATGGCGCTCATGCTTTCTCAGCAATAAAGGTGCTTTTGCAGCTCTTTTCTCCAGGTAGGTACCGTTTTCAAGGTCTCTCACTTGCAATACCCTATCATGAATAAGGAAATCTTCAATATGGAAATGCTCCTCAAATTGGTCTGTGGTTTGGTCCCCCTTAATAAATGCTGAATTAATCGGAGCAAAAAGTGTAAAGTTCTGTAGCTCATTTAAGTACTGTAC</t>
  </si>
  <si>
    <t>chrXII_sliding:1040001-1041000</t>
  </si>
  <si>
    <t>papilloma.PPV_E1_C.Canis_lupus_familiaris_subspecies:SRR13233216_196116_ka_f_5.000_7_1_279_</t>
  </si>
  <si>
    <t>11M1D34M</t>
  </si>
  <si>
    <t>CQRDRFFNMHNISTVHYPLPYSLCCKGVLNHDFFGSAKRLIFKQP</t>
  </si>
  <si>
    <t>ACCTCTTAATCTCAATGAAGACATCCAAATTTTCTACACAAAGTTCCTTTTCTAAATGGCGCCTGAATAAATATCTCATACCTGGATCAGTTAGCACATAGTCCAGTTTATTTAAATTACTCGAAGAGATAAGCATGTCTTGAGAAAAACCTTCACTATCATCCAATGTCTTTTTTTCATCACGAACAGTCATATGACCCCTTAATGTGAAATCTAGGTCTATGGTGCTACCATTTGGTGCTCTAATATTATTGCTCTTACAACCTGTCCAAGAAACCAAATCCCAACCACGCTTGGACAAGGTAAAAAAAGAGGACCTGCTAATTTGAAACTTTTTCTTGTCAGTGCGTGATGGTTGTAAAAGAACTGGTACAATCAACCCCGTTTTTAAAAATAACGCTGCCAACGAGACCGCTTCTTTAACATGCATAATATCAGTACAGTCCATTATCCACTGCCATATAGCCTTTGTTGTAAAGGTGTACTTAATCACGATTTTTTTGGAAGTGCCAAACGTCTTATTTTCAAACAACCTAATACCTGCATTCGAAACGTAGTATTGCGTGTGCGACTCAGAATCTGGATTTGTAAAGAATCGATGAGCTAATGGCGATACCCTTTCTAAGTCATTTATATCGATGTTTCCAATCTGAGCTTGCCATCCTTGTTCTGGCTTAGATTTCTCAAAAGTAAATGTATCATCATTATTAGTGTATTCCAACAACGAAGATAGGCAAGGTAATGGGTCATCTGCGTTTGTTGGAGACCAAACATTTGGCTTAGCGCCCATCATTTTAATGAAAAGAATATGGATCAAATAATCACTATGGATGATTGAATCCGTGACAGAGCTTCTCTCAAAAGTGAAAAGTTTCATGGAGTTAAACGATGACAAAAGAATATCAGGCATTGTTTTCAACCCAATATCTCTAACATACTTTTGTAAAACAGCAACTCCCTTAGGTGTTGGTTGGAAAAGAACTTTCTCTTTTGGCTCGCC</t>
  </si>
  <si>
    <t>chrXIV_sliding:20001-21000</t>
  </si>
  <si>
    <t>papilloma.PPV_E1_C.human_skin_metagenome_species:SRR12173449_2373620_ka_f_7.808_L_1253615_L_2357788_14_186_1_REVERSE_SENSE_</t>
  </si>
  <si>
    <t>4M2I14M1I34M</t>
  </si>
  <si>
    <t>WDDIGGIDFVKGEILDTIDMPLKHPELFTSGMKKRSGILFYGPPGTGKTLMAKAI</t>
  </si>
  <si>
    <t>TTTGTTGCTCCGATAACAAATACACCGTCAGCGTCGGTACTCATACCATCTAACTCTGCTAGTAACTGTGAAACGATACGATCCATAACACCACCCGAATCACCTTGATTACCACGTTTGGGTGCTACTGAATCGATTTCATCGAAAAATATGACACAAGGTTTAGCCTCTCTCGCCTTTTGAAACACTCTGCGCACATTAGCTTCACTCTCACCAATGTACATATTCAACAGTTCAGGGCCTTTAACACTAAAAAAATTTAAAGAAAAATTTGTTGCAATGGCCTTAGCCATTAGAGTTTTACCTGTACCCGGTGGACCATAAAAAAGAATACCGCTTCTCTTTTTCATACCTGAGGTAAATAATTCAGGATGTTTTAGCGGCATGTCTATTGTGTCCAATATTTCACCTTTAACAAAATCAATACCACCTATATCATCCCAAGTTACGTTAGGGATTTGTGGGGCACCAATCGAAACCGAGAATTCGTTCCTAGCTTTCGAAGTAGCTTTTGATAAATCCTCCTGAGTGATCAAAATTGATTGCGGAAGCCATCCACACTTCTTTGATTCTTGGTAAAAACGCGCAGTAGCCGTCATTCGTGCCGTTTCCACAATTGATTTGATGTCTAAAGGAGTTAAACCAGCAGAATATGAAGAGAGTGATGAAAATGAAATATTATCCATGTAAGATACTGGAACCTTTTGTTGAACATCTCTGTTTAGTTCATGTGAAGATAAGTACCACTGAAAGATACGCAGTCTCTGTGCTTCAGACGGAACGGGTACGAGAATCTCAAATCTCATATGTGATCTAAAGCTGGAAGGCACGTTATCTATGTTATTTACGGAGCCAACAAATGTAGTTCCTGGGAATTTAAACGTAAAATCGTCCAGAAGTTTAGACATTTCGAAGTTTATAGATTTTTGTAATTTGATTGCCTCTGGATCTTGATTAGCGTTTACGTCAAGCAAAATTGAATCCAAATGAGCCAAAAAAA</t>
  </si>
  <si>
    <t>chrXIV_sliding:72801-73800</t>
  </si>
  <si>
    <t>papilloma.PPV_E1_C.Human_papillomavirus:KP692117</t>
  </si>
  <si>
    <t>11M6D38M2I45M</t>
  </si>
  <si>
    <t>NLINCTNDDRVEVKNGAVQTFFRIIDSHSVCFPPWDLIFLEVIEPLLTKEWSTEELENETDFINVTLQGLIKLYPEHFKDFKNNTTCAKEWSMLLD</t>
  </si>
  <si>
    <t>TATATCAAGTCCAGACAATATGGCCTTTTGCATAGAGGACGGTTTAGTTTTGTCTTGGACAAACTCAGGTAAGAGAGGATATTTTATGGCAGAATTGAATAAAAGAAGAACTTTTTCCACAAATTCATCTGTCATCGCATCGTATTTCGATATTAATTGGTAAAGAGGAGGAAATCCGGTTATTAGTTCGTATATACAATCGTATTCAGTTTTGCTCGATGCGTTTGTGGAGAGATCACTGTACGTAATATTGTAGTCGGTAAATATTTCGCAGCACTTTTTCAATATATCTGATGGAACGTCCTCAATAGTGATGATTTCTTTCAGCAGGGTTTGATAATTTAATATTACAGCATTCTTGGTATTATTAGAAGTGGAAGACAACAATCTTTTCAAAAAATCTAATAACATTGACCATTCCTTGGCGCAGGTAGTGTTGTTTTTGAAGTCCTTAAAGTGTTCCGGATAAAGCTTAATTAATCCTTGCAATGTTACATTTATAAAATCAGTTTCATTTTCGAGTTCTTCAGTGGACCATTCCTTGGTAAGCAGTGGTTCAATAACCTCTAAGAAAATTAGGTCCCATGGGGGGAAGCAAACAGAATGGGAGTCGATGATTCTGAAAAAAGTCTGCACAGCACCGTTTTTAACTTCTACTCTATCATCATTAGTACAATTGATCAAATTTTTCAAAAGATATATCCATAATCCGTTGTAAAGTTCCCAATCATGAGATGAACTGGATGTAATGATTTCAATTAATTTTTGATTATTAATCTTTTCGGAGAGACTTCTACGTTTCTCATCACTTAAATTTAATGTTTCGGGATTGAAGCGGACTCTGAGATAATCTCCAACTAACCAGAACTGACTAATAGAAGAAAAGGAGATATTAAGATTTCGCTTCTGACTTACGAAATTGACAAGCGTATCAATAACGAATTTAATGACACTCATAGGTAAACTCTGTAAGAAATCATCAGAAATTAGTTTAAAAACA</t>
  </si>
  <si>
    <t>chrXIV_sliding:167201-168200</t>
  </si>
  <si>
    <t>papilloma.PPV_E1_C.viral_metagenome_species:ERR1301518_4_ka_f_66.007_L_29155_46_213_2165_</t>
  </si>
  <si>
    <t>11M2D7M1D15M1I7M2D18M2I24M</t>
  </si>
  <si>
    <t>CYVCGKIGHLAEDCDSERLCYNCNKPGHVQTDCTMPRTVEFKQCYNCGETGHVRSECTVQRCFNCNQTGHISRECPEPKKTSRFS</t>
  </si>
  <si>
    <t>AAATGAAGTATAGAAAAGATATAGAAAATAAACTTAAATATTCAGTTTACTTGTGCTTCTTTTTTCCCCTCTATGAAATATAGCATGATAAGTGATTGTTCCTTTGTTTTTTTCAGTGGATGTTTCACCTAAGCCTTTGGACAATCCTTGGAAATATGGCCAGTTTCGTTACAGTTGTAACAAAGCCTGTCATTTTGACAGTCCCTGGACATGTGGCCAGCTTGACCACAAGTGTAACATTTCAATCCACTAATTCCGTCCTCTTTCATACAGTCCTTAGCCATATGGTTTGGACCACCACATTTATAACATGAAACTTTGGAGAATCTGCTGGTCTTCTTTGGTTCAGGGCATTCTCTGGAGATGTGGCCGGTTTGGTTACAGTTGAAACAACGTTGCACAGTACATTCACTTCTAACGTGACCGGTTTCACCACAATTGTAACATTGCTTGAATTCAACTGTTCTTGGCATGGTACAATCCGTTTGAACGTGACCGGGTTTGTTACAGTTGTAACATAGTCTTTCAGAATCACAGTCTTCTGCCAAATGGCCAATCTTACCGCAAACGTAACAAGCTTTTTGAGACATCTTTTTCGTATTCTTTTCTTTTTTCCTGATTTCTGAAGGGAAAGCCTTAAAATAATACAATCCTCAAGTGCCCCCAAAGCAGAAAGAGCATTTCTAATCCATCGATGACCTTATTACAACTCTTGCCAAAAGAGAAAAGGAACGAAAAGAAAATTTTTTCAGCATTTCGTCTATCATGACACCACAGCAGTTCTTACTATAAAGCTCAAATCCCTAAGCCATAAAGGCAACAAACGGCAATATACTACCTGTTTAATCGTGCGTATCCAGTCGCCATCTCCTGCTGGAATAGTTATGAACATCGAGTTTCAGTTCCCGCAGACGGTCTTCCTCTATGGCAGCTTCCCATTGCTCAATTGGATCAGAGTCGGCTACTATGATACCGTATTCAACTGTATCCTCGAGTAAGT</t>
  </si>
  <si>
    <t>chrXV_sliding:112001-113000</t>
  </si>
  <si>
    <t>papilloma.Late_protein_L1.Homo_sapiens_species:SRR3095949_14650_ka_f_55.762_58_1894_587_REVERSE_SENSE_</t>
  </si>
  <si>
    <t>9M2I48M2D15M2I5M1D27M2I6M5I46M12I5M5I33M</t>
  </si>
  <si>
    <t>MVPSQIWRYPTSLVLSNFIDTKAWKVVVNLLNLIIGGSFIERNWNSSKEMFKFIIVLGSLTNVLIIMLTLLVSFFSNKVRLDIPLDGNYTILIGFPIIYRQLLPETTIIHLKTPQFLAKNFRFKLLPIFVMFTMTVTQIIWFHHFAQLFSIWVTFFASWSYLRFFQKLAPLNCPSLPTTNSQGGQEILVGDASDTFQLIYFFPDLIKPILRPIFNFIYNVVV</t>
  </si>
  <si>
    <t>ACATGTGAATATTTTGTTTGATACGTAACAAGCTCATACAAACCAAGCCAAGAAAAAGAAGACGACTAATCTATTTATAACAAAGATATTTGTTCACTATAATGCAATATAGTTCGAGGTTCCTAGAATTGAATATCCCGGATTCATTTTTAAATATCAATAAGATTCCTGATGCTACTAAATTTATTACAGTCACTTATATATGCTTAACTGCAACCCTTTTCTGTATAAGGAGATCCTTGTACAACAAGCTAGTTCTTGAAGACCCTAACTTGGACTACAACTTGATTACTTCGCCGCTTTTGCAAATGGTACCTTCGCAGATTTGGAGGTACCCCACCTCATTAGTTCTATCCAACTTCATCGACACTAAAGCTTGGAAGGTGGTAGTGAACTTATTGAATTTGATCATTGGTGGATCCTTCATTGAACGCAATTGGAACTCTTCCAAAGAAATGTTCAAATTTATCATAGTTTTAGGTTCTCTTACAAACGTTCTGATCATCATGCTGACTTTGTTAGTATCTTTTTTCTCTAATAAGGTAAGGCTGGATATTCCCTTAGACGGGAACTACACAATTTTAATCGGTTTCCCTATCATTTATAGACAGTTATTGCCTGAAACAACTATAATCCATCTGAAGACACCTCAATTTTTGGCCAAAAACTTTAGGTTCAAATTACTACCCATTTTTGTAATGTTTACAATGACGGTAACCCAAATAATATGGTTTCATCATTTTGCTCAATTGTTCTCCATTTGGGTTACCTTTTTTGCCAGTTGGTCGTACTTGAGGTTTTTCCAGAAACTTGCACCCTTGAATTGTCCCTCTTTGCCAACAACTAATTCTCAAGGTGGTCAGGAAATATTGGTCGGCGATGCATCTGATACTTTTCAATTGATTTACTTCTTTCCTGATCTAATTAAGCCGATTTTGAGGCCGATTTTCAATTTCATTTATAATGTAGTTGTTGTAAAATTTAAAGTCATTAAACCTTT</t>
  </si>
  <si>
    <t>chrXVI_sliding:274401-275400</t>
  </si>
  <si>
    <t>papilloma.PPV_E1_C.bat_metagenome_species:SRR25288570_35360_ka_f_138.343_L_144877_L_107019_15_3_656_</t>
  </si>
  <si>
    <t>66M8I30M4D34M</t>
  </si>
  <si>
    <t>NSQDAIRGTIQRNFNGIRLENIDVIIPSVRASEGIKLINKLTFQIPLHIDPITSKSNSIQDLSKANDIKLPFLQGSGSSLLILGPNGCGKSSIQRIIAEIWPVYNKNGLLSIPSENNIFFIPQKPYFSRGGTLRDQII</t>
  </si>
  <si>
    <t>TTGGCAGGCGAGAGATCTGCTTCAGACGGCGATTACTACAATTATCATCTAAACATGATAAATAATAGCGAAGAGATCGCATTTTACCAAGGAACAGCAGTGGAAAGGACGAAAGTTAAAGAGTTGTATGATGTGCTGATGGAAAAAATGCTGCTGGTTGATAAAGTCAAGTTTGGTTACAATATGTTGGAAGACTATGTTTTAAAATATACATGGTCCGGTTTGGGTTATGTTTTTGCCTCAATCCCTATCGTTATGTCTACCTTAGCGACAGGCATCAATTCAGAGGAAAAAAATATGAAGGAATTTATAGTCAACAAAAGGTTGATGTTGTCGCTTGCAGATGCAGGCTCGAGATTGATGCATTCGATAAAGGACATCTCACAATTGACCGGCTACACTAATAGGATATTTACTCTGCTTTCCGTCTTACACAGGGTTCACTCTCTGAACTTTAATTACGGCGCTGTTCCTTCAATCCTGTCAATACGTACAGAAGACGCTTCCAGAAATTCCAACTTATTACCCACCACGGATAATTCGCAAGATGCTATTCGTGGTACTATTCAACGCAATTTTAACGGTATTCGGTTAGAAAATATAGACGTAATCATTCCATCAGTAAGGGCGAGCGAAGGCATAAAGCTGATTAACAAGCTTACATTTCAAATTCCTTTGCATATTGACCCAATAACTTCAAAGTCCAATTCTATACAAGACTTATCGAAGGCAAATGATATAAAGTTACCATTTTTGCAGGGTTCTGGCTCCAGCCTGTTAATATTAGGGCCAAATGGTTGCGGTAAAAGTTCAATTCAACGCATTATAGCTGAAATATGGCCAGTGTATAACAAAAATGGATTATTGTCGATTCCTTCAGAAAATAATATTTTTTTTATTCCTCAGAAACCATATTTTAGTAGAGGTGGAACTTTAAGAGACCAAATTATATACCCCATGTCCTCGGATGAATTCTTTGATAGGGGGTTTAGAGATAAGG</t>
  </si>
  <si>
    <t>contig</t>
  </si>
  <si>
    <t>hit_to</t>
  </si>
  <si>
    <t>hit_start</t>
  </si>
  <si>
    <t>hit_end</t>
  </si>
  <si>
    <t>status</t>
  </si>
  <si>
    <t>human</t>
  </si>
  <si>
    <t>papilloma.Late_protein_L1.Chlamydia_trachomatis_species:SRR6279611_6158_ka_f_4.629_5_3_239_</t>
  </si>
  <si>
    <t>papilloma.Late_protein_L1.Homo_sapiens_species:SRR12207393_114807_ka_f_4.010_12_1_588_</t>
  </si>
  <si>
    <t>papilloma.Late_protein_L1.Homo_sapiens_species:SRR12709260_5269_ka_f_81.255_6_3_236_</t>
  </si>
  <si>
    <t>papilloma.Late_protein_L1.Homo_sapiens_species:SRR1611049_105064_ka_f_357.206_L_221255_L_219215_L_282333_6_23_385_</t>
  </si>
  <si>
    <t>papilloma.Late_protein_L1.Homo_sapiens_species:SRR16368211_879_ka_f_1125.152_L_21547_L_37823_L_22185_4_1_195_</t>
  </si>
  <si>
    <t>papilloma.Late_protein_L1.Homo_sapiens_species:SRR18511782_138122_ka_f_190.405_L_2840473_L_2840517_L_221525_7_2_250_</t>
  </si>
  <si>
    <t>papilloma.Late_protein_L1.Homo_sapiens_species:SRR22895351_601120_ka_f_9.300_3_3_170_</t>
  </si>
  <si>
    <t>papilloma.Late_protein_L1.Homo_sapiens_species:SRR25281067_409486_ka_f_11.785_L_649829_15_283_2_REVERSE_SENSE_</t>
  </si>
  <si>
    <t>papilloma.Late_protein_L1.Homo_sapiens_species:SRR8081929_282416_ka_f_4.696_L_494354_17_274_35_REVERSE_SENSE_</t>
  </si>
  <si>
    <t>papilloma.Late_protein_L1.Phaseolus_vulgaris_species:SRR21012400_135075_ka_f_3.500_3_18_224_</t>
  </si>
  <si>
    <t>papilloma.Late_protein_L1.Syringa_oblata_species:SRR10164122_230762_ka_f_2.400_13_240_1_REVERSE_SENSE_</t>
  </si>
  <si>
    <t>papilloma.Late_protein_L1.viral_metagenome_species:ERR2001275_115236_ka_f_3.700_8_1_285_</t>
  </si>
  <si>
    <t>papilloma.Late_protein_L2.Homo_sapiens_species:SRR12709689_182698_ka_f_17.700_4_2_256_</t>
  </si>
  <si>
    <t>papilloma.Late_protein_L2.Homo_sapiens_species:SRR12710016_36185_ka_f_259.081_L_16743_11_220_2_REVERSE_SENSE_</t>
  </si>
  <si>
    <t>papilloma.Late_protein_L2.Homo_sapiens_species:SRR12710018_9950_ka_f_464.419_L_16025_5_1_216_</t>
  </si>
  <si>
    <t>papilloma.Late_protein_L2.Homo_sapiens_species:SRR1611070_361_ka_f_1870.879_L_4334_L_3410_5_3_278_</t>
  </si>
  <si>
    <t>papilloma.Late_protein_L2.Homo_sapiens_species:SRR18511892_506129_ka_f_28.791_L_5356_L_2236780_L_132918_L_509035_21_308_3_REVERSE_SENSE_</t>
  </si>
  <si>
    <t>papilloma.Late_protein_L2.human_metagenome_species:SRR25460445_44884_ka_f_3.000_12_189_1_REVERSE_SENSE_</t>
  </si>
  <si>
    <t>papilloma.PPV_E1_C.Homo_sapiens_species:SRR14131957_49815_ka_f_114.460_L_637687_L_618586_L_618587_21_237_1_REVERSE_SENSE_</t>
  </si>
  <si>
    <t>papilloma.PPV_E1_C.Homo_sapiens_species:SRR19350896_12564_ka_f_59.488_L_86559_65_1806_1504_REVERSE_SENSE_</t>
  </si>
  <si>
    <t>papilloma.PPV_E1_C.Homo_sapiens_species:SRR26512947_2788_ka_f_2.900_10_150_1_REVERSE_SENSE_</t>
  </si>
  <si>
    <t>papilloma.PPV_E1_C.Human_papillomavirus_species:SRR10064828_9673_ka_f_3.900_11_192_7_REVERSE_SENSE_</t>
  </si>
  <si>
    <t>papilloma.PPV_E1_C.Human_papillomavirus_type_16:HE984552</t>
  </si>
  <si>
    <t>papilloma.PPV_E1_C.dust_metagenome_species:SRR24716052_143_ka_f_2.800_5_3_197_</t>
  </si>
  <si>
    <t>papilloma.PPV_E1_C.dust_metagenome_species:SRR24716052_259_ka_f_2.955_9_202_2_REVERSE_SENSE_</t>
  </si>
  <si>
    <t>papilloma.PPV_E1_N.Homo_sapiens_species:SRR23351486_5465_ka_f_293.081_L_314376_L_316079_36_389_3_REVERSE_SENSE_</t>
  </si>
  <si>
    <t>papilloma.PPV_E2_C.Homo_sapiens_species:SRR15837160_26022_ka_f_57.187_L_3707_6_23_538_</t>
  </si>
  <si>
    <t>papilloma.PPV_E2_C.bat_metagenome_species:SRR25288621_513752_ka_f_11.875_L_331430_L_668198_19_651_1_REVERSE_SENSE_</t>
  </si>
  <si>
    <t>papilloma.PPV_E2_C.human_skin_metagenome_species:SRR7688028_9585_ka_f_5.400_5_3_236_</t>
  </si>
  <si>
    <t>papilloma.PPV_E2_C.human_skin_metagenome_species:SRR7688383_2411_ka_f_95.601_L_59728_L_59751_L_49367_5_3_230_</t>
  </si>
  <si>
    <t>papilloma.PPV_E2_C.metagenome_species:ERR3209883_20631_ka_f_7.442_32_647_309_REVERSE_SENSE_</t>
  </si>
  <si>
    <t>papilloma.PPV_E2_N.Homo_sapiens_species:SRR21616107_112499_ka_f_2.000_4_2_205_</t>
  </si>
  <si>
    <t>papilloma.PPV_E2_N.Homo_sapiens_species:SRR23719855_233_ka_f_44.276_L_86631_L_1939144_L_611_L_2347386_19_258_1_REVERSE_SENSE_</t>
  </si>
  <si>
    <t>papilloma.PPV_E2_N.Human_alphaherpesvirus_2_no_rank:SRR8114612_15_ka_f_6.411_15_321_103_REVERSE_SENSE_</t>
  </si>
  <si>
    <t>papilloma.PPV_E2_N.Human_papillomavirus_type_16:HE984501</t>
  </si>
  <si>
    <t>papilloma.PPV_E2_N.Human_papillomavirus_type_16:MZ189192</t>
  </si>
  <si>
    <t>papilloma.PPV_E2_N.Mustela_putorius_papillomavirus_1:KF006988</t>
  </si>
  <si>
    <t>papilloma.PPV_E2_N.bat_metagenome_species:SRR25288601_134620_ka_f_3.600_5_1_444_</t>
  </si>
  <si>
    <t>papilloma.PPV_E2_N.dust_metagenome_species:SRR24716030_12239_ka_f_3.200_3_3_203_</t>
  </si>
  <si>
    <t>length</t>
  </si>
  <si>
    <t>rm</t>
  </si>
  <si>
    <t>trim</t>
  </si>
  <si>
    <t>bac</t>
  </si>
  <si>
    <t>mouse</t>
  </si>
  <si>
    <t>NA</t>
  </si>
  <si>
    <t>remove sequences if less than 50 aa remaining after removing integration sites - filtered to &lt; 1 x 10 ^-5</t>
  </si>
  <si>
    <t>bed1</t>
  </si>
  <si>
    <t>bed2</t>
  </si>
  <si>
    <t>remaining</t>
  </si>
  <si>
    <t>remain</t>
  </si>
  <si>
    <t>papilloma.Late_protein_L1.Chlamydia_trachomatis_species:SRR6279621_4621_ka_f_10.659_L_31549_L_31571_14_91_636_</t>
  </si>
  <si>
    <t>papilloma.PPV_E2_N.Homo_sapiens_species:SRR12056156_15_ka_f_13.933_L_45_L_46_L_17_21_527_108_REVERSE_SENSE_</t>
  </si>
  <si>
    <t>papilloma.PPV_E1_C.Homo_sapiens_species:SRR11908763_11537_ka_f_9.306_33_409_2_REVERSE_SENSE_</t>
  </si>
  <si>
    <t>papilloma.PPV_E1_C.Human_papillomavirus_type_16:HE984530</t>
  </si>
  <si>
    <t>papilloma.Late_protein_L1.Homo_sapiens_species:SRR4003653_1743_ka_f_42.766_L_17852_L_76552_8_2_334_</t>
  </si>
  <si>
    <t>papilloma.Late_protein_L1.Homo_sapiens_species:SRR1609909_37467_ka_f_27.187_L_1344185_L_168451_L_1350297_11_1_576_</t>
  </si>
  <si>
    <t>papilloma.PPV_E1_DBD.Homo_sapiens_species:SRR19350921_117961_ka_f_9.575_L_185896_64_1701_832_REVERSE_SENSE_</t>
  </si>
  <si>
    <t>papilloma.PPV_E2_N.Homo_sapiens_species:SRR19898577_77155_ka_f_4.616_L_18126_18_249_602_</t>
  </si>
  <si>
    <t>papilloma.PPV_E1_DBD.Homo_sapiens_species:SRR2984640_3511_ka_f_122.215_L_33155_60_1140_1_REVERSE_SENSE_</t>
  </si>
  <si>
    <t>papilloma.PPV_E1_C.Homo_sapiens_species:SRR24920387_448701_ka_f_13.400_5_2_208_</t>
  </si>
  <si>
    <t>papilloma.PPV_E1_C.Homo_sapiens_species:SRR12709352_3443_ka_f_2.200_5_3_212_</t>
  </si>
  <si>
    <t>papilloma.PPV_E1_C.Human_papillomavirus_species:SRR12052059_1778_ka_f_2.800_8_185_3_REVERSE_SENSE_</t>
  </si>
  <si>
    <t>papilloma.Late_protein_L1.Homo_sapiens_species:SRR5008130_66473_ka_f_3.303_4_3_185_</t>
  </si>
  <si>
    <t>papilloma.PPV_E2_N.Homo_sapiens_species:SRR21903069_67109_ka_f_10.121_L_290144_L_294868_L_295374_60_279_1_REVERSE_SENSE_</t>
  </si>
  <si>
    <t>papilloma.Late_protein_L1.Homo_sapiens_species:SRR13289363_3269_ka_f_26.327_L_167600_L_83408_L_83409_6_20_250_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</si>
</sst>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E8E0-4F93-4DB7-89F8-84F46C2372ED}">
  <sheetPr filterMode="1"/>
  <dimension ref="A1:J89"/>
  <sheetViews>
    <sheetView topLeftCell="A19" workbookViewId="0">
      <selection activeCell="H67" activeCellId="1" sqref="A67:A89 H67:I89"/>
    </sheetView>
  </sheetViews>
  <sheetFormatPr defaultRowHeight="14.5" x14ac:dyDescent="0.35"/>
  <cols>
    <col min="1" max="1" width="114.54296875" customWidth="1"/>
  </cols>
  <sheetData>
    <row r="1" spans="1:10" s="4" customFormat="1" x14ac:dyDescent="0.35">
      <c r="A1" s="4" t="s">
        <v>92</v>
      </c>
      <c r="B1" s="4" t="s">
        <v>94</v>
      </c>
      <c r="C1" s="4" t="s">
        <v>95</v>
      </c>
      <c r="D1" s="4" t="s">
        <v>137</v>
      </c>
      <c r="E1" s="4" t="s">
        <v>146</v>
      </c>
      <c r="F1" s="4" t="s">
        <v>96</v>
      </c>
      <c r="G1" s="4" t="s">
        <v>93</v>
      </c>
      <c r="H1" s="4" t="s">
        <v>144</v>
      </c>
      <c r="I1" s="4" t="s">
        <v>145</v>
      </c>
      <c r="J1" s="4" t="s">
        <v>147</v>
      </c>
    </row>
    <row r="2" spans="1:10" x14ac:dyDescent="0.35">
      <c r="A2" t="s">
        <v>98</v>
      </c>
      <c r="B2">
        <v>39</v>
      </c>
      <c r="C2">
        <v>79</v>
      </c>
      <c r="D2">
        <v>79</v>
      </c>
      <c r="E2">
        <f>D2+(B2-C2)</f>
        <v>39</v>
      </c>
      <c r="F2" t="s">
        <v>138</v>
      </c>
      <c r="G2" t="s">
        <v>97</v>
      </c>
      <c r="H2">
        <v>0</v>
      </c>
      <c r="I2">
        <f>D2</f>
        <v>79</v>
      </c>
    </row>
    <row r="3" spans="1:10" x14ac:dyDescent="0.35">
      <c r="A3" t="s">
        <v>99</v>
      </c>
      <c r="B3">
        <v>1</v>
      </c>
      <c r="C3">
        <v>90</v>
      </c>
      <c r="D3">
        <v>196</v>
      </c>
      <c r="E3">
        <f t="shared" ref="E3:E42" si="0">D3+(B3-C3)</f>
        <v>107</v>
      </c>
      <c r="F3" t="s">
        <v>139</v>
      </c>
      <c r="G3" t="s">
        <v>97</v>
      </c>
      <c r="H3">
        <f>B3-1</f>
        <v>0</v>
      </c>
      <c r="I3">
        <f>C3</f>
        <v>90</v>
      </c>
      <c r="J3">
        <f>D3-(I3-H3)</f>
        <v>106</v>
      </c>
    </row>
    <row r="4" spans="1:10" x14ac:dyDescent="0.35">
      <c r="A4" t="s">
        <v>100</v>
      </c>
      <c r="B4">
        <v>1</v>
      </c>
      <c r="C4">
        <v>77</v>
      </c>
      <c r="D4">
        <v>78</v>
      </c>
      <c r="E4">
        <f t="shared" si="0"/>
        <v>2</v>
      </c>
      <c r="F4" t="s">
        <v>138</v>
      </c>
      <c r="G4" t="s">
        <v>97</v>
      </c>
      <c r="H4">
        <v>0</v>
      </c>
      <c r="I4">
        <f>D4</f>
        <v>78</v>
      </c>
    </row>
    <row r="5" spans="1:10" x14ac:dyDescent="0.35">
      <c r="A5" t="s">
        <v>101</v>
      </c>
      <c r="B5">
        <v>1</v>
      </c>
      <c r="C5">
        <v>53</v>
      </c>
      <c r="D5">
        <v>121</v>
      </c>
      <c r="E5">
        <f t="shared" si="0"/>
        <v>69</v>
      </c>
      <c r="F5" t="s">
        <v>139</v>
      </c>
      <c r="G5" t="s">
        <v>97</v>
      </c>
      <c r="H5">
        <f>B5-1</f>
        <v>0</v>
      </c>
      <c r="I5">
        <f>C5</f>
        <v>53</v>
      </c>
      <c r="J5">
        <f>D5-(I5-H5)</f>
        <v>68</v>
      </c>
    </row>
    <row r="6" spans="1:10" x14ac:dyDescent="0.35">
      <c r="A6" t="s">
        <v>102</v>
      </c>
      <c r="B6">
        <v>1</v>
      </c>
      <c r="C6">
        <v>64</v>
      </c>
      <c r="D6">
        <v>65</v>
      </c>
      <c r="E6">
        <f t="shared" si="0"/>
        <v>2</v>
      </c>
      <c r="F6" t="s">
        <v>138</v>
      </c>
      <c r="G6" t="s">
        <v>97</v>
      </c>
      <c r="H6">
        <v>0</v>
      </c>
      <c r="I6">
        <f t="shared" ref="I6:I8" si="1">D6</f>
        <v>65</v>
      </c>
    </row>
    <row r="7" spans="1:10" x14ac:dyDescent="0.35">
      <c r="A7" t="s">
        <v>103</v>
      </c>
      <c r="B7">
        <v>45</v>
      </c>
      <c r="C7">
        <v>83</v>
      </c>
      <c r="D7">
        <v>83</v>
      </c>
      <c r="E7">
        <f t="shared" si="0"/>
        <v>45</v>
      </c>
      <c r="F7" t="s">
        <v>138</v>
      </c>
      <c r="G7" t="s">
        <v>97</v>
      </c>
      <c r="H7">
        <v>0</v>
      </c>
      <c r="I7">
        <f t="shared" si="1"/>
        <v>83</v>
      </c>
    </row>
    <row r="8" spans="1:10" x14ac:dyDescent="0.35">
      <c r="A8" t="s">
        <v>104</v>
      </c>
      <c r="B8">
        <v>1</v>
      </c>
      <c r="C8">
        <v>21</v>
      </c>
      <c r="D8">
        <v>56</v>
      </c>
      <c r="E8">
        <f t="shared" si="0"/>
        <v>36</v>
      </c>
      <c r="F8" t="s">
        <v>138</v>
      </c>
      <c r="G8" t="s">
        <v>97</v>
      </c>
      <c r="H8">
        <v>0</v>
      </c>
      <c r="I8">
        <f t="shared" si="1"/>
        <v>56</v>
      </c>
    </row>
    <row r="9" spans="1:10" x14ac:dyDescent="0.35">
      <c r="A9" t="s">
        <v>105</v>
      </c>
      <c r="B9">
        <v>1</v>
      </c>
      <c r="C9">
        <v>41</v>
      </c>
      <c r="D9">
        <v>94</v>
      </c>
      <c r="E9">
        <f t="shared" si="0"/>
        <v>54</v>
      </c>
      <c r="F9" t="s">
        <v>139</v>
      </c>
      <c r="G9" t="s">
        <v>97</v>
      </c>
      <c r="H9">
        <f t="shared" ref="H9:H11" si="2">B9-1</f>
        <v>0</v>
      </c>
      <c r="I9">
        <f t="shared" ref="I9:I11" si="3">C9</f>
        <v>41</v>
      </c>
      <c r="J9">
        <f t="shared" ref="J9:J11" si="4">D9-(I9-H9)</f>
        <v>53</v>
      </c>
    </row>
    <row r="10" spans="1:10" x14ac:dyDescent="0.35">
      <c r="A10" t="s">
        <v>83</v>
      </c>
      <c r="B10">
        <v>67</v>
      </c>
      <c r="C10">
        <v>436</v>
      </c>
      <c r="D10">
        <v>436</v>
      </c>
      <c r="E10">
        <f t="shared" si="0"/>
        <v>67</v>
      </c>
      <c r="F10" t="s">
        <v>139</v>
      </c>
      <c r="G10" t="s">
        <v>97</v>
      </c>
      <c r="H10">
        <f t="shared" si="2"/>
        <v>66</v>
      </c>
      <c r="I10">
        <f t="shared" si="3"/>
        <v>436</v>
      </c>
      <c r="J10">
        <f t="shared" si="4"/>
        <v>66</v>
      </c>
    </row>
    <row r="11" spans="1:10" x14ac:dyDescent="0.35">
      <c r="A11" t="s">
        <v>106</v>
      </c>
      <c r="B11">
        <v>62</v>
      </c>
      <c r="C11">
        <v>80</v>
      </c>
      <c r="D11">
        <v>80</v>
      </c>
      <c r="E11">
        <f t="shared" si="0"/>
        <v>62</v>
      </c>
      <c r="F11" t="s">
        <v>139</v>
      </c>
      <c r="G11" t="s">
        <v>97</v>
      </c>
      <c r="H11">
        <f t="shared" si="2"/>
        <v>61</v>
      </c>
      <c r="I11">
        <f t="shared" si="3"/>
        <v>80</v>
      </c>
      <c r="J11">
        <f t="shared" si="4"/>
        <v>61</v>
      </c>
    </row>
    <row r="12" spans="1:10" x14ac:dyDescent="0.35">
      <c r="A12" t="s">
        <v>107</v>
      </c>
      <c r="B12">
        <v>49</v>
      </c>
      <c r="C12">
        <v>69</v>
      </c>
      <c r="D12">
        <v>69</v>
      </c>
      <c r="E12">
        <f t="shared" si="0"/>
        <v>49</v>
      </c>
      <c r="F12" t="s">
        <v>138</v>
      </c>
      <c r="G12" t="s">
        <v>97</v>
      </c>
      <c r="H12">
        <v>0</v>
      </c>
      <c r="I12">
        <f t="shared" ref="I12:I17" si="5">D12</f>
        <v>69</v>
      </c>
    </row>
    <row r="13" spans="1:10" x14ac:dyDescent="0.35">
      <c r="A13" t="s">
        <v>108</v>
      </c>
      <c r="B13">
        <v>1</v>
      </c>
      <c r="C13">
        <v>35</v>
      </c>
      <c r="D13">
        <v>80</v>
      </c>
      <c r="E13">
        <f t="shared" si="0"/>
        <v>46</v>
      </c>
      <c r="F13" t="s">
        <v>138</v>
      </c>
      <c r="G13" t="s">
        <v>97</v>
      </c>
      <c r="H13">
        <v>0</v>
      </c>
      <c r="I13">
        <f t="shared" si="5"/>
        <v>80</v>
      </c>
    </row>
    <row r="14" spans="1:10" x14ac:dyDescent="0.35">
      <c r="A14" t="s">
        <v>109</v>
      </c>
      <c r="B14">
        <v>9</v>
      </c>
      <c r="C14">
        <v>95</v>
      </c>
      <c r="D14">
        <v>95</v>
      </c>
      <c r="E14">
        <f t="shared" si="0"/>
        <v>9</v>
      </c>
      <c r="F14" t="s">
        <v>138</v>
      </c>
      <c r="G14" t="s">
        <v>97</v>
      </c>
      <c r="H14">
        <v>0</v>
      </c>
      <c r="I14">
        <f t="shared" si="5"/>
        <v>95</v>
      </c>
    </row>
    <row r="15" spans="1:10" x14ac:dyDescent="0.35">
      <c r="A15" t="s">
        <v>110</v>
      </c>
      <c r="B15">
        <v>43</v>
      </c>
      <c r="C15">
        <v>85</v>
      </c>
      <c r="D15">
        <v>85</v>
      </c>
      <c r="E15">
        <f t="shared" si="0"/>
        <v>43</v>
      </c>
      <c r="F15" t="s">
        <v>138</v>
      </c>
      <c r="G15" t="s">
        <v>97</v>
      </c>
      <c r="H15">
        <v>0</v>
      </c>
      <c r="I15">
        <f t="shared" si="5"/>
        <v>85</v>
      </c>
    </row>
    <row r="16" spans="1:10" x14ac:dyDescent="0.35">
      <c r="A16" t="s">
        <v>111</v>
      </c>
      <c r="B16">
        <v>39</v>
      </c>
      <c r="C16">
        <v>73</v>
      </c>
      <c r="D16">
        <v>73</v>
      </c>
      <c r="E16">
        <f t="shared" si="0"/>
        <v>39</v>
      </c>
      <c r="F16" t="s">
        <v>138</v>
      </c>
      <c r="G16" t="s">
        <v>97</v>
      </c>
      <c r="H16">
        <v>0</v>
      </c>
      <c r="I16">
        <f t="shared" si="5"/>
        <v>73</v>
      </c>
    </row>
    <row r="17" spans="1:10" x14ac:dyDescent="0.35">
      <c r="A17" t="s">
        <v>112</v>
      </c>
      <c r="B17">
        <v>23</v>
      </c>
      <c r="C17">
        <v>72</v>
      </c>
      <c r="D17">
        <v>72</v>
      </c>
      <c r="E17">
        <f t="shared" si="0"/>
        <v>23</v>
      </c>
      <c r="F17" t="s">
        <v>138</v>
      </c>
      <c r="G17" t="s">
        <v>97</v>
      </c>
      <c r="H17">
        <v>0</v>
      </c>
      <c r="I17">
        <f t="shared" si="5"/>
        <v>72</v>
      </c>
    </row>
    <row r="18" spans="1:10" x14ac:dyDescent="0.35">
      <c r="A18" t="s">
        <v>113</v>
      </c>
      <c r="B18">
        <v>1</v>
      </c>
      <c r="C18">
        <v>33</v>
      </c>
      <c r="D18">
        <v>92</v>
      </c>
      <c r="E18">
        <f t="shared" si="0"/>
        <v>60</v>
      </c>
      <c r="F18" t="s">
        <v>139</v>
      </c>
      <c r="G18" t="s">
        <v>97</v>
      </c>
      <c r="H18">
        <f>B18-1</f>
        <v>0</v>
      </c>
      <c r="I18">
        <f>C18</f>
        <v>33</v>
      </c>
      <c r="J18">
        <f>D18-(I18-H18)</f>
        <v>59</v>
      </c>
    </row>
    <row r="19" spans="1:10" x14ac:dyDescent="0.35">
      <c r="A19" t="s">
        <v>114</v>
      </c>
      <c r="B19">
        <v>1</v>
      </c>
      <c r="C19">
        <v>83</v>
      </c>
      <c r="D19">
        <v>102</v>
      </c>
      <c r="E19">
        <f t="shared" si="0"/>
        <v>20</v>
      </c>
      <c r="F19" t="s">
        <v>138</v>
      </c>
      <c r="G19" t="s">
        <v>97</v>
      </c>
      <c r="H19">
        <v>0</v>
      </c>
      <c r="I19">
        <f t="shared" ref="I19:I22" si="6">D19</f>
        <v>102</v>
      </c>
    </row>
    <row r="20" spans="1:10" x14ac:dyDescent="0.35">
      <c r="A20" t="s">
        <v>39</v>
      </c>
      <c r="B20">
        <v>1</v>
      </c>
      <c r="C20">
        <v>49</v>
      </c>
      <c r="D20">
        <v>84</v>
      </c>
      <c r="E20">
        <f t="shared" si="0"/>
        <v>36</v>
      </c>
      <c r="F20" t="s">
        <v>138</v>
      </c>
      <c r="G20" t="s">
        <v>97</v>
      </c>
      <c r="H20">
        <v>0</v>
      </c>
      <c r="I20">
        <f t="shared" si="6"/>
        <v>84</v>
      </c>
    </row>
    <row r="21" spans="1:10" x14ac:dyDescent="0.35">
      <c r="A21" t="s">
        <v>115</v>
      </c>
      <c r="B21">
        <v>43</v>
      </c>
      <c r="C21">
        <v>63</v>
      </c>
      <c r="D21">
        <v>63</v>
      </c>
      <c r="E21">
        <f t="shared" si="0"/>
        <v>43</v>
      </c>
      <c r="F21" t="s">
        <v>138</v>
      </c>
      <c r="G21" t="s">
        <v>97</v>
      </c>
      <c r="H21">
        <v>0</v>
      </c>
      <c r="I21">
        <f t="shared" si="6"/>
        <v>63</v>
      </c>
    </row>
    <row r="22" spans="1:10" x14ac:dyDescent="0.35">
      <c r="A22" t="s">
        <v>116</v>
      </c>
      <c r="B22">
        <v>38</v>
      </c>
      <c r="C22">
        <v>73</v>
      </c>
      <c r="D22">
        <v>79</v>
      </c>
      <c r="E22">
        <f t="shared" si="0"/>
        <v>44</v>
      </c>
      <c r="F22" t="s">
        <v>138</v>
      </c>
      <c r="G22" t="s">
        <v>97</v>
      </c>
      <c r="H22">
        <v>0</v>
      </c>
      <c r="I22">
        <f t="shared" si="6"/>
        <v>79</v>
      </c>
    </row>
    <row r="23" spans="1:10" x14ac:dyDescent="0.35">
      <c r="A23" t="s">
        <v>117</v>
      </c>
      <c r="B23">
        <v>68</v>
      </c>
      <c r="C23">
        <v>101</v>
      </c>
      <c r="D23">
        <v>101</v>
      </c>
      <c r="E23">
        <f t="shared" si="0"/>
        <v>68</v>
      </c>
      <c r="F23" t="s">
        <v>139</v>
      </c>
      <c r="G23" t="s">
        <v>97</v>
      </c>
      <c r="H23">
        <f>B23-1</f>
        <v>67</v>
      </c>
      <c r="I23">
        <f>C23</f>
        <v>101</v>
      </c>
      <c r="J23">
        <f>D23-(I23-H23)</f>
        <v>67</v>
      </c>
    </row>
    <row r="24" spans="1:10" x14ac:dyDescent="0.35">
      <c r="A24" t="s">
        <v>118</v>
      </c>
      <c r="B24">
        <v>31</v>
      </c>
      <c r="C24">
        <v>50</v>
      </c>
      <c r="D24">
        <v>50</v>
      </c>
      <c r="E24">
        <f t="shared" si="0"/>
        <v>31</v>
      </c>
      <c r="F24" t="s">
        <v>138</v>
      </c>
      <c r="G24" t="s">
        <v>97</v>
      </c>
      <c r="H24">
        <v>0</v>
      </c>
      <c r="I24">
        <f t="shared" ref="I24:I25" si="7">D24</f>
        <v>50</v>
      </c>
    </row>
    <row r="25" spans="1:10" x14ac:dyDescent="0.35">
      <c r="A25" t="s">
        <v>119</v>
      </c>
      <c r="B25">
        <v>34</v>
      </c>
      <c r="C25">
        <v>62</v>
      </c>
      <c r="D25">
        <v>62</v>
      </c>
      <c r="E25">
        <f t="shared" si="0"/>
        <v>34</v>
      </c>
      <c r="F25" t="s">
        <v>138</v>
      </c>
      <c r="G25" t="s">
        <v>97</v>
      </c>
      <c r="H25">
        <v>0</v>
      </c>
      <c r="I25">
        <f t="shared" si="7"/>
        <v>62</v>
      </c>
    </row>
    <row r="26" spans="1:10" x14ac:dyDescent="0.35">
      <c r="A26" t="s">
        <v>120</v>
      </c>
      <c r="B26">
        <v>51</v>
      </c>
      <c r="C26">
        <v>75</v>
      </c>
      <c r="D26">
        <v>75</v>
      </c>
      <c r="E26">
        <f t="shared" si="0"/>
        <v>51</v>
      </c>
      <c r="F26" t="s">
        <v>139</v>
      </c>
      <c r="G26" t="s">
        <v>97</v>
      </c>
      <c r="H26">
        <f>B26-1</f>
        <v>50</v>
      </c>
      <c r="I26">
        <f>C26</f>
        <v>75</v>
      </c>
      <c r="J26">
        <f>D26-(I26-H26)</f>
        <v>50</v>
      </c>
    </row>
    <row r="27" spans="1:10" x14ac:dyDescent="0.35">
      <c r="A27" t="s">
        <v>121</v>
      </c>
      <c r="B27">
        <v>1</v>
      </c>
      <c r="C27">
        <v>19</v>
      </c>
      <c r="D27">
        <v>65</v>
      </c>
      <c r="E27">
        <f t="shared" si="0"/>
        <v>47</v>
      </c>
      <c r="F27" t="s">
        <v>138</v>
      </c>
      <c r="G27" t="s">
        <v>97</v>
      </c>
      <c r="H27">
        <v>0</v>
      </c>
      <c r="I27">
        <f>D27</f>
        <v>65</v>
      </c>
    </row>
    <row r="28" spans="1:10" x14ac:dyDescent="0.35">
      <c r="A28" t="s">
        <v>122</v>
      </c>
      <c r="B28">
        <v>1</v>
      </c>
      <c r="C28">
        <v>18</v>
      </c>
      <c r="D28">
        <v>67</v>
      </c>
      <c r="E28">
        <f t="shared" si="0"/>
        <v>50</v>
      </c>
      <c r="F28" t="s">
        <v>138</v>
      </c>
      <c r="G28" t="s">
        <v>97</v>
      </c>
      <c r="H28">
        <f t="shared" ref="H28" si="8">B28-1</f>
        <v>0</v>
      </c>
      <c r="I28">
        <f t="shared" ref="I28:I29" si="9">C28</f>
        <v>18</v>
      </c>
      <c r="J28">
        <v>67</v>
      </c>
    </row>
    <row r="29" spans="1:10" x14ac:dyDescent="0.35">
      <c r="A29" t="s">
        <v>123</v>
      </c>
      <c r="B29">
        <v>17</v>
      </c>
      <c r="C29">
        <v>58</v>
      </c>
      <c r="D29">
        <v>129</v>
      </c>
      <c r="E29">
        <f t="shared" si="0"/>
        <v>88</v>
      </c>
      <c r="F29" t="s">
        <v>139</v>
      </c>
      <c r="G29" t="s">
        <v>97</v>
      </c>
      <c r="H29">
        <v>0</v>
      </c>
      <c r="I29">
        <f t="shared" si="9"/>
        <v>58</v>
      </c>
      <c r="J29">
        <f t="shared" ref="J29" si="10">D29-(I29-H29)</f>
        <v>71</v>
      </c>
    </row>
    <row r="30" spans="1:10" x14ac:dyDescent="0.35">
      <c r="A30" t="s">
        <v>124</v>
      </c>
      <c r="B30">
        <v>1</v>
      </c>
      <c r="C30">
        <v>125</v>
      </c>
      <c r="D30">
        <v>172</v>
      </c>
      <c r="E30">
        <f t="shared" si="0"/>
        <v>48</v>
      </c>
      <c r="F30" t="s">
        <v>138</v>
      </c>
      <c r="G30" t="s">
        <v>97</v>
      </c>
      <c r="H30">
        <v>0</v>
      </c>
      <c r="I30">
        <f>D30</f>
        <v>172</v>
      </c>
    </row>
    <row r="31" spans="1:10" x14ac:dyDescent="0.35">
      <c r="A31" t="s">
        <v>125</v>
      </c>
      <c r="B31">
        <v>16</v>
      </c>
      <c r="C31">
        <v>171</v>
      </c>
      <c r="D31">
        <v>217</v>
      </c>
      <c r="E31">
        <f t="shared" si="0"/>
        <v>62</v>
      </c>
      <c r="F31" t="s">
        <v>138</v>
      </c>
      <c r="G31" t="s">
        <v>97</v>
      </c>
      <c r="H31">
        <v>0</v>
      </c>
      <c r="I31">
        <f>C31</f>
        <v>171</v>
      </c>
      <c r="J31">
        <f>D31-(I31-H31)</f>
        <v>46</v>
      </c>
    </row>
    <row r="32" spans="1:10" x14ac:dyDescent="0.35">
      <c r="A32" t="s">
        <v>126</v>
      </c>
      <c r="B32">
        <v>5</v>
      </c>
      <c r="C32">
        <v>41</v>
      </c>
      <c r="D32">
        <v>78</v>
      </c>
      <c r="E32">
        <f t="shared" si="0"/>
        <v>42</v>
      </c>
      <c r="F32" t="s">
        <v>138</v>
      </c>
      <c r="G32" t="s">
        <v>97</v>
      </c>
      <c r="H32">
        <v>0</v>
      </c>
      <c r="I32">
        <f t="shared" ref="I32:I33" si="11">D32</f>
        <v>78</v>
      </c>
    </row>
    <row r="33" spans="1:10" x14ac:dyDescent="0.35">
      <c r="A33" t="s">
        <v>127</v>
      </c>
      <c r="B33">
        <v>41</v>
      </c>
      <c r="C33">
        <v>69</v>
      </c>
      <c r="D33">
        <v>76</v>
      </c>
      <c r="E33">
        <f t="shared" si="0"/>
        <v>48</v>
      </c>
      <c r="F33" t="s">
        <v>138</v>
      </c>
      <c r="G33" t="s">
        <v>97</v>
      </c>
      <c r="H33">
        <v>0</v>
      </c>
      <c r="I33">
        <f t="shared" si="11"/>
        <v>76</v>
      </c>
    </row>
    <row r="34" spans="1:10" x14ac:dyDescent="0.35">
      <c r="A34" t="s">
        <v>128</v>
      </c>
      <c r="B34">
        <v>38</v>
      </c>
      <c r="C34">
        <v>88</v>
      </c>
      <c r="D34">
        <v>113</v>
      </c>
      <c r="E34">
        <f t="shared" si="0"/>
        <v>63</v>
      </c>
      <c r="F34" t="s">
        <v>139</v>
      </c>
      <c r="G34" t="s">
        <v>97</v>
      </c>
      <c r="H34">
        <f>B34-1</f>
        <v>37</v>
      </c>
      <c r="I34">
        <f>C34</f>
        <v>88</v>
      </c>
      <c r="J34">
        <f>D34-(I34-H34)</f>
        <v>62</v>
      </c>
    </row>
    <row r="35" spans="1:10" x14ac:dyDescent="0.35">
      <c r="A35" t="s">
        <v>129</v>
      </c>
      <c r="B35">
        <v>1</v>
      </c>
      <c r="C35">
        <v>26</v>
      </c>
      <c r="D35">
        <v>68</v>
      </c>
      <c r="E35">
        <f t="shared" si="0"/>
        <v>43</v>
      </c>
      <c r="F35" t="s">
        <v>138</v>
      </c>
      <c r="G35" t="s">
        <v>97</v>
      </c>
      <c r="H35">
        <v>0</v>
      </c>
      <c r="I35">
        <f t="shared" ref="I35:I39" si="12">D35</f>
        <v>68</v>
      </c>
    </row>
    <row r="36" spans="1:10" x14ac:dyDescent="0.35">
      <c r="A36" t="s">
        <v>130</v>
      </c>
      <c r="B36">
        <v>11</v>
      </c>
      <c r="C36">
        <v>55</v>
      </c>
      <c r="D36">
        <v>86</v>
      </c>
      <c r="E36">
        <f t="shared" si="0"/>
        <v>42</v>
      </c>
      <c r="F36" t="s">
        <v>138</v>
      </c>
      <c r="G36" t="s">
        <v>97</v>
      </c>
      <c r="H36">
        <v>0</v>
      </c>
      <c r="I36">
        <f t="shared" si="12"/>
        <v>86</v>
      </c>
    </row>
    <row r="37" spans="1:10" x14ac:dyDescent="0.35">
      <c r="A37" t="s">
        <v>131</v>
      </c>
      <c r="B37">
        <v>30</v>
      </c>
      <c r="C37">
        <v>73</v>
      </c>
      <c r="D37">
        <v>73</v>
      </c>
      <c r="E37">
        <f t="shared" si="0"/>
        <v>30</v>
      </c>
      <c r="F37" t="s">
        <v>138</v>
      </c>
      <c r="G37" t="s">
        <v>97</v>
      </c>
      <c r="H37">
        <v>0</v>
      </c>
      <c r="I37">
        <f t="shared" si="12"/>
        <v>73</v>
      </c>
    </row>
    <row r="38" spans="1:10" x14ac:dyDescent="0.35">
      <c r="A38" t="s">
        <v>132</v>
      </c>
      <c r="B38">
        <v>34</v>
      </c>
      <c r="C38">
        <v>54</v>
      </c>
      <c r="D38">
        <v>54</v>
      </c>
      <c r="E38">
        <f t="shared" si="0"/>
        <v>34</v>
      </c>
      <c r="F38" t="s">
        <v>138</v>
      </c>
      <c r="G38" t="s">
        <v>97</v>
      </c>
      <c r="H38">
        <v>0</v>
      </c>
      <c r="I38">
        <f t="shared" si="12"/>
        <v>54</v>
      </c>
    </row>
    <row r="39" spans="1:10" x14ac:dyDescent="0.35">
      <c r="A39" t="s">
        <v>133</v>
      </c>
      <c r="B39">
        <v>43</v>
      </c>
      <c r="C39">
        <v>58</v>
      </c>
      <c r="D39">
        <v>58</v>
      </c>
      <c r="E39">
        <f t="shared" si="0"/>
        <v>43</v>
      </c>
      <c r="F39" t="s">
        <v>138</v>
      </c>
      <c r="G39" t="s">
        <v>97</v>
      </c>
      <c r="H39">
        <v>0</v>
      </c>
      <c r="I39">
        <f t="shared" si="12"/>
        <v>58</v>
      </c>
    </row>
    <row r="40" spans="1:10" x14ac:dyDescent="0.35">
      <c r="A40" t="s">
        <v>134</v>
      </c>
      <c r="B40">
        <v>317</v>
      </c>
      <c r="C40">
        <v>381</v>
      </c>
      <c r="D40">
        <v>580</v>
      </c>
      <c r="E40">
        <f t="shared" si="0"/>
        <v>516</v>
      </c>
      <c r="F40" t="s">
        <v>139</v>
      </c>
      <c r="G40" t="s">
        <v>97</v>
      </c>
      <c r="H40">
        <f t="shared" ref="H40" si="13">B40-1</f>
        <v>316</v>
      </c>
      <c r="I40">
        <v>580</v>
      </c>
      <c r="J40">
        <f t="shared" ref="J40:J41" si="14">D40-(I40-H40)</f>
        <v>316</v>
      </c>
    </row>
    <row r="41" spans="1:10" x14ac:dyDescent="0.35">
      <c r="A41" t="s">
        <v>135</v>
      </c>
      <c r="B41">
        <v>36</v>
      </c>
      <c r="C41">
        <v>123</v>
      </c>
      <c r="D41">
        <v>148</v>
      </c>
      <c r="E41">
        <f t="shared" si="0"/>
        <v>61</v>
      </c>
      <c r="F41" t="s">
        <v>138</v>
      </c>
      <c r="G41" t="s">
        <v>97</v>
      </c>
      <c r="H41">
        <v>0</v>
      </c>
      <c r="I41">
        <v>148</v>
      </c>
      <c r="J41">
        <f t="shared" si="14"/>
        <v>0</v>
      </c>
    </row>
    <row r="42" spans="1:10" x14ac:dyDescent="0.35">
      <c r="A42" t="s">
        <v>136</v>
      </c>
      <c r="B42">
        <v>18</v>
      </c>
      <c r="C42">
        <v>67</v>
      </c>
      <c r="D42">
        <v>67</v>
      </c>
      <c r="E42">
        <f t="shared" si="0"/>
        <v>18</v>
      </c>
      <c r="F42" t="s">
        <v>138</v>
      </c>
      <c r="G42" t="s">
        <v>97</v>
      </c>
      <c r="H42">
        <v>0</v>
      </c>
      <c r="I42">
        <f>D42</f>
        <v>67</v>
      </c>
    </row>
    <row r="43" spans="1:10" hidden="1" x14ac:dyDescent="0.35"/>
    <row r="44" spans="1:10" hidden="1" x14ac:dyDescent="0.35">
      <c r="A44" t="s">
        <v>2</v>
      </c>
      <c r="B44">
        <v>328</v>
      </c>
      <c r="C44">
        <v>433</v>
      </c>
      <c r="D44">
        <v>556</v>
      </c>
      <c r="E44" t="s">
        <v>142</v>
      </c>
      <c r="G44" t="s">
        <v>140</v>
      </c>
    </row>
    <row r="45" spans="1:10" x14ac:dyDescent="0.35">
      <c r="A45" s="2" t="s">
        <v>8</v>
      </c>
      <c r="B45" s="2">
        <v>75</v>
      </c>
      <c r="C45" s="2">
        <v>125</v>
      </c>
      <c r="D45" s="2">
        <v>125</v>
      </c>
      <c r="E45">
        <f t="shared" ref="E45" si="15">D45+(B45-C45)</f>
        <v>75</v>
      </c>
      <c r="F45" t="s">
        <v>139</v>
      </c>
      <c r="G45" t="s">
        <v>140</v>
      </c>
      <c r="H45">
        <f>B45-1</f>
        <v>74</v>
      </c>
      <c r="I45">
        <f>C45</f>
        <v>125</v>
      </c>
      <c r="J45">
        <f>D45-(I45-H45)</f>
        <v>74</v>
      </c>
    </row>
    <row r="46" spans="1:10" hidden="1" x14ac:dyDescent="0.35">
      <c r="A46" t="s">
        <v>13</v>
      </c>
      <c r="B46">
        <v>34</v>
      </c>
      <c r="C46">
        <v>101</v>
      </c>
      <c r="D46">
        <v>113</v>
      </c>
      <c r="E46" t="s">
        <v>142</v>
      </c>
      <c r="G46" t="s">
        <v>140</v>
      </c>
    </row>
    <row r="47" spans="1:10" hidden="1" x14ac:dyDescent="0.35">
      <c r="A47" t="s">
        <v>18</v>
      </c>
      <c r="B47">
        <v>48</v>
      </c>
      <c r="C47">
        <v>108</v>
      </c>
      <c r="D47">
        <v>211</v>
      </c>
      <c r="E47" t="s">
        <v>142</v>
      </c>
      <c r="G47" t="s">
        <v>140</v>
      </c>
    </row>
    <row r="48" spans="1:10" hidden="1" x14ac:dyDescent="0.35">
      <c r="A48" t="s">
        <v>23</v>
      </c>
      <c r="B48">
        <v>237</v>
      </c>
      <c r="C48">
        <v>339</v>
      </c>
      <c r="D48">
        <v>506</v>
      </c>
      <c r="E48" t="s">
        <v>142</v>
      </c>
      <c r="G48" t="s">
        <v>140</v>
      </c>
    </row>
    <row r="49" spans="1:9" hidden="1" x14ac:dyDescent="0.35">
      <c r="A49" t="s">
        <v>29</v>
      </c>
      <c r="B49">
        <v>17</v>
      </c>
      <c r="C49">
        <v>97</v>
      </c>
      <c r="D49">
        <v>128</v>
      </c>
      <c r="E49" t="s">
        <v>142</v>
      </c>
      <c r="G49" t="s">
        <v>140</v>
      </c>
    </row>
    <row r="50" spans="1:9" hidden="1" x14ac:dyDescent="0.35"/>
    <row r="51" spans="1:9" hidden="1" x14ac:dyDescent="0.35">
      <c r="A51" t="s">
        <v>34</v>
      </c>
      <c r="B51">
        <v>209</v>
      </c>
      <c r="C51">
        <v>351</v>
      </c>
      <c r="D51">
        <v>465</v>
      </c>
      <c r="E51" t="s">
        <v>142</v>
      </c>
      <c r="G51" t="s">
        <v>141</v>
      </c>
    </row>
    <row r="52" spans="1:9" x14ac:dyDescent="0.35">
      <c r="A52" s="2" t="s">
        <v>39</v>
      </c>
      <c r="B52" s="2">
        <v>1</v>
      </c>
      <c r="C52" s="2">
        <v>52</v>
      </c>
      <c r="D52" s="2">
        <v>84</v>
      </c>
      <c r="E52">
        <f t="shared" ref="E52" si="16">D52+(B52-C52)</f>
        <v>33</v>
      </c>
      <c r="F52" t="s">
        <v>138</v>
      </c>
      <c r="G52" t="s">
        <v>141</v>
      </c>
      <c r="H52">
        <v>0</v>
      </c>
      <c r="I52">
        <f>D52</f>
        <v>84</v>
      </c>
    </row>
    <row r="53" spans="1:9" hidden="1" x14ac:dyDescent="0.35">
      <c r="A53" t="s">
        <v>44</v>
      </c>
      <c r="B53">
        <v>12</v>
      </c>
      <c r="C53">
        <v>91</v>
      </c>
      <c r="D53">
        <v>97</v>
      </c>
      <c r="E53" t="s">
        <v>142</v>
      </c>
      <c r="G53" t="s">
        <v>141</v>
      </c>
    </row>
    <row r="54" spans="1:9" hidden="1" x14ac:dyDescent="0.35">
      <c r="A54" t="s">
        <v>49</v>
      </c>
      <c r="B54">
        <v>101</v>
      </c>
      <c r="C54">
        <v>277</v>
      </c>
      <c r="D54">
        <v>341</v>
      </c>
      <c r="E54" t="s">
        <v>142</v>
      </c>
      <c r="G54" t="s">
        <v>141</v>
      </c>
    </row>
    <row r="55" spans="1:9" hidden="1" x14ac:dyDescent="0.35">
      <c r="A55" t="s">
        <v>54</v>
      </c>
      <c r="B55">
        <v>20</v>
      </c>
      <c r="C55">
        <v>70</v>
      </c>
      <c r="D55">
        <v>116</v>
      </c>
      <c r="E55" t="s">
        <v>142</v>
      </c>
      <c r="G55" t="s">
        <v>141</v>
      </c>
    </row>
    <row r="56" spans="1:9" hidden="1" x14ac:dyDescent="0.35">
      <c r="A56" t="s">
        <v>58</v>
      </c>
      <c r="B56">
        <v>22</v>
      </c>
      <c r="C56">
        <v>68</v>
      </c>
      <c r="D56">
        <v>74</v>
      </c>
      <c r="E56" t="s">
        <v>142</v>
      </c>
      <c r="G56" t="s">
        <v>141</v>
      </c>
    </row>
    <row r="57" spans="1:9" hidden="1" x14ac:dyDescent="0.35">
      <c r="A57" t="s">
        <v>63</v>
      </c>
      <c r="B57">
        <v>16</v>
      </c>
      <c r="C57">
        <v>61</v>
      </c>
      <c r="D57">
        <v>93</v>
      </c>
      <c r="E57" t="s">
        <v>142</v>
      </c>
      <c r="G57" t="s">
        <v>141</v>
      </c>
    </row>
    <row r="58" spans="1:9" hidden="1" x14ac:dyDescent="0.35">
      <c r="A58" t="s">
        <v>68</v>
      </c>
      <c r="B58">
        <v>1</v>
      </c>
      <c r="C58">
        <v>52</v>
      </c>
      <c r="D58">
        <v>62</v>
      </c>
      <c r="E58" t="s">
        <v>142</v>
      </c>
      <c r="G58" t="s">
        <v>141</v>
      </c>
    </row>
    <row r="59" spans="1:9" hidden="1" x14ac:dyDescent="0.35">
      <c r="A59" t="s">
        <v>73</v>
      </c>
      <c r="B59">
        <v>184</v>
      </c>
      <c r="C59">
        <v>283</v>
      </c>
      <c r="D59">
        <v>634</v>
      </c>
      <c r="E59" t="s">
        <v>142</v>
      </c>
      <c r="G59" t="s">
        <v>141</v>
      </c>
    </row>
    <row r="60" spans="1:9" hidden="1" x14ac:dyDescent="0.35">
      <c r="A60" t="s">
        <v>78</v>
      </c>
      <c r="B60">
        <v>54</v>
      </c>
      <c r="C60">
        <v>140</v>
      </c>
      <c r="D60">
        <v>651</v>
      </c>
      <c r="E60" t="s">
        <v>142</v>
      </c>
      <c r="G60" t="s">
        <v>141</v>
      </c>
    </row>
    <row r="61" spans="1:9" hidden="1" x14ac:dyDescent="0.35">
      <c r="A61" t="s">
        <v>83</v>
      </c>
      <c r="B61">
        <v>137</v>
      </c>
      <c r="C61">
        <v>333</v>
      </c>
      <c r="D61">
        <v>436</v>
      </c>
      <c r="E61" t="s">
        <v>142</v>
      </c>
      <c r="G61" t="s">
        <v>141</v>
      </c>
    </row>
    <row r="62" spans="1:9" hidden="1" x14ac:dyDescent="0.35">
      <c r="A62" t="s">
        <v>88</v>
      </c>
      <c r="B62">
        <v>9</v>
      </c>
      <c r="C62">
        <v>142</v>
      </c>
      <c r="D62">
        <v>218</v>
      </c>
      <c r="E62" t="s">
        <v>142</v>
      </c>
      <c r="G62" t="s">
        <v>141</v>
      </c>
    </row>
    <row r="63" spans="1:9" hidden="1" x14ac:dyDescent="0.35"/>
    <row r="64" spans="1:9" hidden="1" x14ac:dyDescent="0.35">
      <c r="A64" t="s">
        <v>143</v>
      </c>
    </row>
    <row r="65" spans="1:10" hidden="1" x14ac:dyDescent="0.35"/>
    <row r="67" spans="1:10" x14ac:dyDescent="0.35">
      <c r="A67" s="2" t="s">
        <v>148</v>
      </c>
      <c r="B67" s="2">
        <v>54</v>
      </c>
      <c r="C67" s="2">
        <v>176</v>
      </c>
      <c r="D67" s="2">
        <v>182</v>
      </c>
      <c r="E67">
        <f t="shared" ref="E67:E89" si="17">D67+(B67-C67)</f>
        <v>60</v>
      </c>
      <c r="G67" t="s">
        <v>97</v>
      </c>
      <c r="H67">
        <f>B67-1</f>
        <v>53</v>
      </c>
      <c r="I67">
        <f>D67</f>
        <v>182</v>
      </c>
      <c r="J67">
        <f>D67-(I67-H67)</f>
        <v>53</v>
      </c>
    </row>
    <row r="68" spans="1:10" x14ac:dyDescent="0.35">
      <c r="A68" s="2" t="s">
        <v>148</v>
      </c>
      <c r="B68" s="2">
        <v>54</v>
      </c>
      <c r="C68" s="2">
        <v>176</v>
      </c>
      <c r="D68" s="2">
        <v>182</v>
      </c>
      <c r="E68">
        <f t="shared" si="17"/>
        <v>60</v>
      </c>
      <c r="G68" t="s">
        <v>97</v>
      </c>
      <c r="H68">
        <f>B68-1</f>
        <v>53</v>
      </c>
      <c r="I68">
        <f>D68</f>
        <v>182</v>
      </c>
      <c r="J68">
        <f t="shared" ref="J68:J89" si="18">D68-(I68-H68)</f>
        <v>53</v>
      </c>
    </row>
    <row r="69" spans="1:10" x14ac:dyDescent="0.35">
      <c r="A69" s="2" t="s">
        <v>149</v>
      </c>
      <c r="B69" s="2">
        <v>41</v>
      </c>
      <c r="C69" s="2">
        <v>140</v>
      </c>
      <c r="D69" s="2">
        <v>140</v>
      </c>
      <c r="E69">
        <f t="shared" si="17"/>
        <v>41</v>
      </c>
      <c r="F69" t="s">
        <v>138</v>
      </c>
      <c r="G69" t="s">
        <v>97</v>
      </c>
      <c r="H69">
        <v>0</v>
      </c>
      <c r="I69">
        <f>D69</f>
        <v>140</v>
      </c>
      <c r="J69">
        <f t="shared" si="18"/>
        <v>0</v>
      </c>
    </row>
    <row r="70" spans="1:10" x14ac:dyDescent="0.35">
      <c r="A70" s="2" t="s">
        <v>150</v>
      </c>
      <c r="B70" s="2">
        <v>1</v>
      </c>
      <c r="C70" s="2">
        <v>80</v>
      </c>
      <c r="D70" s="2">
        <v>136</v>
      </c>
      <c r="E70">
        <f t="shared" si="17"/>
        <v>57</v>
      </c>
      <c r="G70" t="s">
        <v>97</v>
      </c>
      <c r="H70">
        <v>0</v>
      </c>
      <c r="I70">
        <v>80</v>
      </c>
      <c r="J70">
        <f t="shared" si="18"/>
        <v>56</v>
      </c>
    </row>
    <row r="71" spans="1:10" x14ac:dyDescent="0.35">
      <c r="A71" s="2" t="s">
        <v>151</v>
      </c>
      <c r="B71" s="2">
        <v>26</v>
      </c>
      <c r="C71" s="2">
        <v>87</v>
      </c>
      <c r="D71" s="2">
        <v>87</v>
      </c>
      <c r="E71">
        <f t="shared" si="17"/>
        <v>26</v>
      </c>
      <c r="F71" t="s">
        <v>138</v>
      </c>
      <c r="G71" t="s">
        <v>97</v>
      </c>
      <c r="H71">
        <v>0</v>
      </c>
      <c r="I71">
        <f>D71</f>
        <v>87</v>
      </c>
      <c r="J71">
        <f t="shared" si="18"/>
        <v>0</v>
      </c>
    </row>
    <row r="72" spans="1:10" x14ac:dyDescent="0.35">
      <c r="A72" s="2" t="s">
        <v>148</v>
      </c>
      <c r="B72" s="2">
        <v>54</v>
      </c>
      <c r="C72" s="2">
        <v>105</v>
      </c>
      <c r="D72" s="2">
        <v>182</v>
      </c>
      <c r="E72">
        <f t="shared" si="17"/>
        <v>131</v>
      </c>
      <c r="G72" t="s">
        <v>97</v>
      </c>
      <c r="H72">
        <v>0</v>
      </c>
      <c r="I72">
        <v>105</v>
      </c>
      <c r="J72">
        <f t="shared" si="18"/>
        <v>77</v>
      </c>
    </row>
    <row r="73" spans="1:10" x14ac:dyDescent="0.35">
      <c r="A73" s="2" t="s">
        <v>152</v>
      </c>
      <c r="B73" s="2">
        <v>63</v>
      </c>
      <c r="C73" s="2">
        <v>111</v>
      </c>
      <c r="D73" s="2">
        <v>111</v>
      </c>
      <c r="E73">
        <f t="shared" si="17"/>
        <v>63</v>
      </c>
      <c r="G73" t="s">
        <v>97</v>
      </c>
      <c r="H73">
        <v>62</v>
      </c>
      <c r="I73">
        <v>111</v>
      </c>
      <c r="J73">
        <f t="shared" si="18"/>
        <v>62</v>
      </c>
    </row>
    <row r="74" spans="1:10" x14ac:dyDescent="0.35">
      <c r="A74" s="2" t="s">
        <v>148</v>
      </c>
      <c r="B74" s="2">
        <v>54</v>
      </c>
      <c r="C74" s="2">
        <v>107</v>
      </c>
      <c r="D74" s="2">
        <v>182</v>
      </c>
      <c r="E74">
        <f t="shared" si="17"/>
        <v>129</v>
      </c>
      <c r="G74" t="s">
        <v>97</v>
      </c>
      <c r="H74">
        <v>0</v>
      </c>
      <c r="I74">
        <v>107</v>
      </c>
      <c r="J74">
        <f t="shared" si="18"/>
        <v>75</v>
      </c>
    </row>
    <row r="75" spans="1:10" x14ac:dyDescent="0.35">
      <c r="A75" s="2" t="s">
        <v>150</v>
      </c>
      <c r="B75" s="2">
        <v>1</v>
      </c>
      <c r="C75" s="2">
        <v>42</v>
      </c>
      <c r="D75" s="2">
        <v>136</v>
      </c>
      <c r="E75">
        <f t="shared" si="17"/>
        <v>95</v>
      </c>
      <c r="G75" t="s">
        <v>97</v>
      </c>
      <c r="H75">
        <v>0</v>
      </c>
      <c r="I75">
        <v>42</v>
      </c>
      <c r="J75">
        <f t="shared" si="18"/>
        <v>94</v>
      </c>
    </row>
    <row r="76" spans="1:10" x14ac:dyDescent="0.35">
      <c r="A76" s="2" t="s">
        <v>153</v>
      </c>
      <c r="B76" s="2">
        <v>9</v>
      </c>
      <c r="C76" s="2">
        <v>52</v>
      </c>
      <c r="D76" s="2">
        <v>192</v>
      </c>
      <c r="E76">
        <f t="shared" si="17"/>
        <v>149</v>
      </c>
      <c r="G76" t="s">
        <v>97</v>
      </c>
      <c r="H76">
        <v>0</v>
      </c>
      <c r="I76">
        <v>52</v>
      </c>
      <c r="J76">
        <f t="shared" si="18"/>
        <v>140</v>
      </c>
    </row>
    <row r="77" spans="1:10" x14ac:dyDescent="0.35">
      <c r="A77" s="2" t="s">
        <v>154</v>
      </c>
      <c r="B77" s="2">
        <v>248</v>
      </c>
      <c r="C77" s="2">
        <v>290</v>
      </c>
      <c r="D77" s="2">
        <v>290</v>
      </c>
      <c r="E77">
        <f t="shared" si="17"/>
        <v>248</v>
      </c>
      <c r="G77" t="s">
        <v>97</v>
      </c>
      <c r="H77">
        <v>247</v>
      </c>
      <c r="I77">
        <v>290</v>
      </c>
      <c r="J77">
        <f t="shared" si="18"/>
        <v>247</v>
      </c>
    </row>
    <row r="78" spans="1:10" x14ac:dyDescent="0.35">
      <c r="A78" s="2" t="s">
        <v>155</v>
      </c>
      <c r="B78" s="2">
        <v>1</v>
      </c>
      <c r="C78" s="2">
        <v>41</v>
      </c>
      <c r="D78" s="2">
        <v>118</v>
      </c>
      <c r="E78">
        <f t="shared" si="17"/>
        <v>78</v>
      </c>
      <c r="G78" t="s">
        <v>97</v>
      </c>
      <c r="H78">
        <v>0</v>
      </c>
      <c r="I78">
        <v>41</v>
      </c>
      <c r="J78">
        <f t="shared" si="18"/>
        <v>77</v>
      </c>
    </row>
    <row r="79" spans="1:10" x14ac:dyDescent="0.35">
      <c r="A79" s="2" t="s">
        <v>155</v>
      </c>
      <c r="B79" s="2">
        <v>1</v>
      </c>
      <c r="C79" s="2">
        <v>41</v>
      </c>
      <c r="D79" s="2">
        <v>118</v>
      </c>
      <c r="E79">
        <f t="shared" si="17"/>
        <v>78</v>
      </c>
      <c r="G79" t="s">
        <v>97</v>
      </c>
      <c r="H79">
        <v>0</v>
      </c>
      <c r="I79">
        <v>41</v>
      </c>
      <c r="J79">
        <f t="shared" si="18"/>
        <v>77</v>
      </c>
    </row>
    <row r="80" spans="1:10" x14ac:dyDescent="0.35">
      <c r="A80" s="2" t="s">
        <v>156</v>
      </c>
      <c r="B80" s="2">
        <v>314</v>
      </c>
      <c r="C80" s="2">
        <v>360</v>
      </c>
      <c r="D80" s="2">
        <v>380</v>
      </c>
      <c r="E80">
        <f t="shared" si="17"/>
        <v>334</v>
      </c>
      <c r="G80" t="s">
        <v>97</v>
      </c>
      <c r="H80">
        <v>313</v>
      </c>
      <c r="I80">
        <v>380</v>
      </c>
      <c r="J80">
        <f t="shared" si="18"/>
        <v>313</v>
      </c>
    </row>
    <row r="81" spans="1:10" x14ac:dyDescent="0.35">
      <c r="A81" s="2" t="s">
        <v>157</v>
      </c>
      <c r="B81" s="2">
        <v>38</v>
      </c>
      <c r="C81" s="2">
        <v>69</v>
      </c>
      <c r="D81" s="2">
        <v>69</v>
      </c>
      <c r="E81">
        <f t="shared" si="17"/>
        <v>38</v>
      </c>
      <c r="F81" t="s">
        <v>138</v>
      </c>
      <c r="G81" t="s">
        <v>97</v>
      </c>
      <c r="H81">
        <v>0</v>
      </c>
      <c r="I81">
        <f t="shared" ref="I81:I84" si="19">D81</f>
        <v>69</v>
      </c>
      <c r="J81">
        <f t="shared" si="18"/>
        <v>0</v>
      </c>
    </row>
    <row r="82" spans="1:10" x14ac:dyDescent="0.35">
      <c r="A82" s="2" t="s">
        <v>158</v>
      </c>
      <c r="B82" s="2">
        <v>43</v>
      </c>
      <c r="C82" s="2">
        <v>70</v>
      </c>
      <c r="D82" s="2">
        <v>70</v>
      </c>
      <c r="E82">
        <f t="shared" si="17"/>
        <v>43</v>
      </c>
      <c r="F82" t="s">
        <v>138</v>
      </c>
      <c r="G82" t="s">
        <v>97</v>
      </c>
      <c r="H82">
        <v>0</v>
      </c>
      <c r="I82">
        <f t="shared" si="19"/>
        <v>70</v>
      </c>
      <c r="J82">
        <f t="shared" si="18"/>
        <v>0</v>
      </c>
    </row>
    <row r="83" spans="1:10" x14ac:dyDescent="0.35">
      <c r="A83" s="2" t="s">
        <v>159</v>
      </c>
      <c r="B83" s="2">
        <v>1</v>
      </c>
      <c r="C83" s="2">
        <v>27</v>
      </c>
      <c r="D83" s="2">
        <v>61</v>
      </c>
      <c r="E83">
        <f t="shared" si="17"/>
        <v>35</v>
      </c>
      <c r="F83" t="s">
        <v>138</v>
      </c>
      <c r="G83" t="s">
        <v>97</v>
      </c>
      <c r="H83">
        <v>0</v>
      </c>
      <c r="I83">
        <f t="shared" si="19"/>
        <v>61</v>
      </c>
      <c r="J83">
        <f t="shared" si="18"/>
        <v>0</v>
      </c>
    </row>
    <row r="84" spans="1:10" x14ac:dyDescent="0.35">
      <c r="A84" s="2" t="s">
        <v>159</v>
      </c>
      <c r="B84" s="2">
        <v>1</v>
      </c>
      <c r="C84" s="2">
        <v>27</v>
      </c>
      <c r="D84" s="2">
        <v>61</v>
      </c>
      <c r="E84">
        <f t="shared" si="17"/>
        <v>35</v>
      </c>
      <c r="F84" t="s">
        <v>138</v>
      </c>
      <c r="G84" t="s">
        <v>97</v>
      </c>
      <c r="H84">
        <v>0</v>
      </c>
      <c r="I84">
        <f t="shared" si="19"/>
        <v>61</v>
      </c>
      <c r="J84">
        <f t="shared" si="18"/>
        <v>0</v>
      </c>
    </row>
    <row r="85" spans="1:10" x14ac:dyDescent="0.35">
      <c r="A85" s="2" t="s">
        <v>153</v>
      </c>
      <c r="B85" s="2">
        <v>9</v>
      </c>
      <c r="C85" s="2">
        <v>54</v>
      </c>
      <c r="D85" s="2">
        <v>192</v>
      </c>
      <c r="E85">
        <f t="shared" si="17"/>
        <v>147</v>
      </c>
      <c r="G85" t="s">
        <v>97</v>
      </c>
      <c r="H85">
        <v>0</v>
      </c>
      <c r="I85">
        <v>54</v>
      </c>
      <c r="J85">
        <f t="shared" si="18"/>
        <v>138</v>
      </c>
    </row>
    <row r="86" spans="1:10" x14ac:dyDescent="0.35">
      <c r="A86" s="2" t="s">
        <v>160</v>
      </c>
      <c r="B86" s="2">
        <v>1</v>
      </c>
      <c r="C86" s="2">
        <v>25</v>
      </c>
      <c r="D86" s="2">
        <v>61</v>
      </c>
      <c r="E86">
        <f t="shared" si="17"/>
        <v>37</v>
      </c>
      <c r="F86" t="s">
        <v>138</v>
      </c>
      <c r="G86" t="s">
        <v>97</v>
      </c>
      <c r="H86">
        <v>0</v>
      </c>
      <c r="I86">
        <f t="shared" ref="I86:I87" si="20">D86</f>
        <v>61</v>
      </c>
      <c r="J86">
        <f t="shared" si="18"/>
        <v>0</v>
      </c>
    </row>
    <row r="87" spans="1:10" x14ac:dyDescent="0.35">
      <c r="A87" s="2" t="s">
        <v>160</v>
      </c>
      <c r="B87" s="2">
        <v>1</v>
      </c>
      <c r="C87" s="2">
        <v>25</v>
      </c>
      <c r="D87" s="2">
        <v>61</v>
      </c>
      <c r="E87">
        <f t="shared" si="17"/>
        <v>37</v>
      </c>
      <c r="F87" t="s">
        <v>138</v>
      </c>
      <c r="G87" t="s">
        <v>97</v>
      </c>
      <c r="H87">
        <v>0</v>
      </c>
      <c r="I87">
        <f t="shared" si="20"/>
        <v>61</v>
      </c>
      <c r="J87">
        <f t="shared" si="18"/>
        <v>0</v>
      </c>
    </row>
    <row r="88" spans="1:10" x14ac:dyDescent="0.35">
      <c r="A88" s="2" t="s">
        <v>161</v>
      </c>
      <c r="B88" s="2">
        <v>1</v>
      </c>
      <c r="C88" s="2">
        <v>26</v>
      </c>
      <c r="D88" s="2">
        <v>93</v>
      </c>
      <c r="E88">
        <f t="shared" si="17"/>
        <v>68</v>
      </c>
      <c r="G88" t="s">
        <v>97</v>
      </c>
      <c r="H88">
        <v>0</v>
      </c>
      <c r="I88">
        <v>26</v>
      </c>
      <c r="J88">
        <f t="shared" si="18"/>
        <v>67</v>
      </c>
    </row>
    <row r="89" spans="1:10" x14ac:dyDescent="0.35">
      <c r="A89" s="2" t="s">
        <v>162</v>
      </c>
      <c r="B89" s="2">
        <v>33</v>
      </c>
      <c r="C89" s="2">
        <v>72</v>
      </c>
      <c r="D89" s="2">
        <v>77</v>
      </c>
      <c r="E89">
        <f t="shared" si="17"/>
        <v>38</v>
      </c>
      <c r="F89" t="s">
        <v>138</v>
      </c>
      <c r="G89" t="s">
        <v>97</v>
      </c>
      <c r="H89">
        <v>0</v>
      </c>
      <c r="I89">
        <f>D89</f>
        <v>77</v>
      </c>
      <c r="J89">
        <f t="shared" si="18"/>
        <v>0</v>
      </c>
    </row>
  </sheetData>
  <autoFilter ref="A1:I65" xr:uid="{0E0BE8E0-4F93-4DB7-89F8-84F46C2372ED}">
    <filterColumn colId="5">
      <customFilters>
        <customFilter operator="notEqual" val=" "/>
      </customFilters>
    </filterColumn>
  </autoFilter>
  <conditionalFormatting sqref="E1:E1048576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F6BA-8096-4E08-B161-21009E61D990}">
  <dimension ref="A1:C67"/>
  <sheetViews>
    <sheetView tabSelected="1" topLeftCell="A22" workbookViewId="0">
      <selection activeCell="A45" sqref="A45:C67"/>
    </sheetView>
  </sheetViews>
  <sheetFormatPr defaultRowHeight="14.5" x14ac:dyDescent="0.35"/>
  <cols>
    <col min="1" max="1" width="99.54296875" customWidth="1"/>
  </cols>
  <sheetData>
    <row r="1" spans="1:3" x14ac:dyDescent="0.35">
      <c r="A1" t="s">
        <v>98</v>
      </c>
      <c r="B1">
        <v>0</v>
      </c>
      <c r="C1">
        <v>79</v>
      </c>
    </row>
    <row r="2" spans="1:3" x14ac:dyDescent="0.35">
      <c r="A2" t="s">
        <v>99</v>
      </c>
      <c r="B2">
        <v>0</v>
      </c>
      <c r="C2">
        <v>90</v>
      </c>
    </row>
    <row r="3" spans="1:3" x14ac:dyDescent="0.35">
      <c r="A3" t="s">
        <v>100</v>
      </c>
      <c r="B3">
        <v>0</v>
      </c>
      <c r="C3">
        <v>78</v>
      </c>
    </row>
    <row r="4" spans="1:3" x14ac:dyDescent="0.35">
      <c r="A4" t="s">
        <v>101</v>
      </c>
      <c r="B4">
        <v>0</v>
      </c>
      <c r="C4">
        <v>53</v>
      </c>
    </row>
    <row r="5" spans="1:3" x14ac:dyDescent="0.35">
      <c r="A5" t="s">
        <v>102</v>
      </c>
      <c r="B5">
        <v>0</v>
      </c>
      <c r="C5">
        <v>65</v>
      </c>
    </row>
    <row r="6" spans="1:3" x14ac:dyDescent="0.35">
      <c r="A6" t="s">
        <v>103</v>
      </c>
      <c r="B6">
        <v>0</v>
      </c>
      <c r="C6">
        <v>83</v>
      </c>
    </row>
    <row r="7" spans="1:3" x14ac:dyDescent="0.35">
      <c r="A7" t="s">
        <v>104</v>
      </c>
      <c r="B7">
        <v>0</v>
      </c>
      <c r="C7">
        <v>56</v>
      </c>
    </row>
    <row r="8" spans="1:3" x14ac:dyDescent="0.35">
      <c r="A8" t="s">
        <v>105</v>
      </c>
      <c r="B8">
        <v>0</v>
      </c>
      <c r="C8">
        <v>41</v>
      </c>
    </row>
    <row r="9" spans="1:3" x14ac:dyDescent="0.35">
      <c r="A9" t="s">
        <v>83</v>
      </c>
      <c r="B9">
        <v>66</v>
      </c>
      <c r="C9">
        <v>436</v>
      </c>
    </row>
    <row r="10" spans="1:3" x14ac:dyDescent="0.35">
      <c r="A10" t="s">
        <v>106</v>
      </c>
      <c r="B10">
        <v>61</v>
      </c>
      <c r="C10">
        <v>80</v>
      </c>
    </row>
    <row r="11" spans="1:3" x14ac:dyDescent="0.35">
      <c r="A11" t="s">
        <v>107</v>
      </c>
      <c r="B11">
        <v>0</v>
      </c>
      <c r="C11">
        <v>69</v>
      </c>
    </row>
    <row r="12" spans="1:3" x14ac:dyDescent="0.35">
      <c r="A12" t="s">
        <v>108</v>
      </c>
      <c r="B12">
        <v>0</v>
      </c>
      <c r="C12">
        <v>80</v>
      </c>
    </row>
    <row r="13" spans="1:3" x14ac:dyDescent="0.35">
      <c r="A13" t="s">
        <v>109</v>
      </c>
      <c r="B13">
        <v>0</v>
      </c>
      <c r="C13">
        <v>95</v>
      </c>
    </row>
    <row r="14" spans="1:3" x14ac:dyDescent="0.35">
      <c r="A14" t="s">
        <v>110</v>
      </c>
      <c r="B14">
        <v>0</v>
      </c>
      <c r="C14">
        <v>85</v>
      </c>
    </row>
    <row r="15" spans="1:3" x14ac:dyDescent="0.35">
      <c r="A15" t="s">
        <v>111</v>
      </c>
      <c r="B15">
        <v>0</v>
      </c>
      <c r="C15">
        <v>73</v>
      </c>
    </row>
    <row r="16" spans="1:3" x14ac:dyDescent="0.35">
      <c r="A16" t="s">
        <v>112</v>
      </c>
      <c r="B16">
        <v>0</v>
      </c>
      <c r="C16">
        <v>72</v>
      </c>
    </row>
    <row r="17" spans="1:3" x14ac:dyDescent="0.35">
      <c r="A17" t="s">
        <v>113</v>
      </c>
      <c r="B17">
        <v>0</v>
      </c>
      <c r="C17">
        <v>33</v>
      </c>
    </row>
    <row r="18" spans="1:3" x14ac:dyDescent="0.35">
      <c r="A18" t="s">
        <v>114</v>
      </c>
      <c r="B18">
        <v>0</v>
      </c>
      <c r="C18">
        <v>102</v>
      </c>
    </row>
    <row r="19" spans="1:3" x14ac:dyDescent="0.35">
      <c r="A19" t="s">
        <v>39</v>
      </c>
      <c r="B19">
        <v>0</v>
      </c>
      <c r="C19">
        <v>84</v>
      </c>
    </row>
    <row r="20" spans="1:3" x14ac:dyDescent="0.35">
      <c r="A20" t="s">
        <v>115</v>
      </c>
      <c r="B20">
        <v>0</v>
      </c>
      <c r="C20">
        <v>63</v>
      </c>
    </row>
    <row r="21" spans="1:3" x14ac:dyDescent="0.35">
      <c r="A21" t="s">
        <v>116</v>
      </c>
      <c r="B21">
        <v>0</v>
      </c>
      <c r="C21">
        <v>79</v>
      </c>
    </row>
    <row r="22" spans="1:3" x14ac:dyDescent="0.35">
      <c r="A22" t="s">
        <v>117</v>
      </c>
      <c r="B22">
        <v>67</v>
      </c>
      <c r="C22">
        <v>101</v>
      </c>
    </row>
    <row r="23" spans="1:3" x14ac:dyDescent="0.35">
      <c r="A23" t="s">
        <v>118</v>
      </c>
      <c r="B23">
        <v>0</v>
      </c>
      <c r="C23">
        <v>50</v>
      </c>
    </row>
    <row r="24" spans="1:3" x14ac:dyDescent="0.35">
      <c r="A24" t="s">
        <v>119</v>
      </c>
      <c r="B24">
        <v>0</v>
      </c>
      <c r="C24">
        <v>62</v>
      </c>
    </row>
    <row r="25" spans="1:3" x14ac:dyDescent="0.35">
      <c r="A25" t="s">
        <v>120</v>
      </c>
      <c r="B25">
        <v>50</v>
      </c>
      <c r="C25">
        <v>75</v>
      </c>
    </row>
    <row r="26" spans="1:3" x14ac:dyDescent="0.35">
      <c r="A26" t="s">
        <v>121</v>
      </c>
      <c r="B26">
        <v>0</v>
      </c>
      <c r="C26">
        <v>65</v>
      </c>
    </row>
    <row r="27" spans="1:3" x14ac:dyDescent="0.35">
      <c r="A27" t="s">
        <v>122</v>
      </c>
      <c r="B27">
        <v>0</v>
      </c>
      <c r="C27">
        <v>18</v>
      </c>
    </row>
    <row r="28" spans="1:3" x14ac:dyDescent="0.35">
      <c r="A28" t="s">
        <v>123</v>
      </c>
      <c r="B28">
        <v>0</v>
      </c>
      <c r="C28">
        <v>58</v>
      </c>
    </row>
    <row r="29" spans="1:3" x14ac:dyDescent="0.35">
      <c r="A29" t="s">
        <v>124</v>
      </c>
      <c r="B29">
        <v>0</v>
      </c>
      <c r="C29">
        <v>172</v>
      </c>
    </row>
    <row r="30" spans="1:3" x14ac:dyDescent="0.35">
      <c r="A30" t="s">
        <v>125</v>
      </c>
      <c r="B30">
        <v>0</v>
      </c>
      <c r="C30">
        <v>171</v>
      </c>
    </row>
    <row r="31" spans="1:3" x14ac:dyDescent="0.35">
      <c r="A31" t="s">
        <v>126</v>
      </c>
      <c r="B31">
        <v>0</v>
      </c>
      <c r="C31">
        <v>78</v>
      </c>
    </row>
    <row r="32" spans="1:3" x14ac:dyDescent="0.35">
      <c r="A32" t="s">
        <v>127</v>
      </c>
      <c r="B32">
        <v>0</v>
      </c>
      <c r="C32">
        <v>76</v>
      </c>
    </row>
    <row r="33" spans="1:3" x14ac:dyDescent="0.35">
      <c r="A33" t="s">
        <v>128</v>
      </c>
      <c r="B33">
        <v>37</v>
      </c>
      <c r="C33">
        <v>88</v>
      </c>
    </row>
    <row r="34" spans="1:3" x14ac:dyDescent="0.35">
      <c r="A34" t="s">
        <v>129</v>
      </c>
      <c r="B34">
        <v>0</v>
      </c>
      <c r="C34">
        <v>68</v>
      </c>
    </row>
    <row r="35" spans="1:3" x14ac:dyDescent="0.35">
      <c r="A35" t="s">
        <v>130</v>
      </c>
      <c r="B35">
        <v>0</v>
      </c>
      <c r="C35">
        <v>86</v>
      </c>
    </row>
    <row r="36" spans="1:3" x14ac:dyDescent="0.35">
      <c r="A36" t="s">
        <v>131</v>
      </c>
      <c r="B36">
        <v>0</v>
      </c>
      <c r="C36">
        <v>73</v>
      </c>
    </row>
    <row r="37" spans="1:3" x14ac:dyDescent="0.35">
      <c r="A37" t="s">
        <v>132</v>
      </c>
      <c r="B37">
        <v>0</v>
      </c>
      <c r="C37">
        <v>54</v>
      </c>
    </row>
    <row r="38" spans="1:3" x14ac:dyDescent="0.35">
      <c r="A38" t="s">
        <v>133</v>
      </c>
      <c r="B38">
        <v>0</v>
      </c>
      <c r="C38">
        <v>58</v>
      </c>
    </row>
    <row r="39" spans="1:3" x14ac:dyDescent="0.35">
      <c r="A39" t="s">
        <v>134</v>
      </c>
      <c r="B39">
        <v>316</v>
      </c>
      <c r="C39">
        <v>580</v>
      </c>
    </row>
    <row r="40" spans="1:3" x14ac:dyDescent="0.35">
      <c r="A40" t="s">
        <v>135</v>
      </c>
      <c r="B40">
        <v>0</v>
      </c>
      <c r="C40">
        <v>148</v>
      </c>
    </row>
    <row r="41" spans="1:3" x14ac:dyDescent="0.35">
      <c r="A41" t="s">
        <v>136</v>
      </c>
      <c r="B41">
        <v>0</v>
      </c>
      <c r="C41">
        <v>67</v>
      </c>
    </row>
    <row r="42" spans="1:3" x14ac:dyDescent="0.35">
      <c r="A42" t="s">
        <v>8</v>
      </c>
      <c r="B42">
        <v>74</v>
      </c>
      <c r="C42">
        <v>125</v>
      </c>
    </row>
    <row r="43" spans="1:3" x14ac:dyDescent="0.35">
      <c r="A43" t="s">
        <v>39</v>
      </c>
      <c r="B43">
        <v>0</v>
      </c>
      <c r="C43">
        <v>84</v>
      </c>
    </row>
    <row r="45" spans="1:3" x14ac:dyDescent="0.35">
      <c r="A45" s="2" t="s">
        <v>148</v>
      </c>
      <c r="B45">
        <v>53</v>
      </c>
      <c r="C45">
        <v>182</v>
      </c>
    </row>
    <row r="46" spans="1:3" x14ac:dyDescent="0.35">
      <c r="A46" s="2" t="s">
        <v>148</v>
      </c>
      <c r="B46">
        <v>53</v>
      </c>
      <c r="C46">
        <v>182</v>
      </c>
    </row>
    <row r="47" spans="1:3" x14ac:dyDescent="0.35">
      <c r="A47" s="2" t="s">
        <v>149</v>
      </c>
      <c r="B47">
        <v>0</v>
      </c>
      <c r="C47">
        <v>140</v>
      </c>
    </row>
    <row r="48" spans="1:3" x14ac:dyDescent="0.35">
      <c r="A48" s="2" t="s">
        <v>150</v>
      </c>
      <c r="B48">
        <v>0</v>
      </c>
      <c r="C48">
        <v>80</v>
      </c>
    </row>
    <row r="49" spans="1:3" x14ac:dyDescent="0.35">
      <c r="A49" s="2" t="s">
        <v>151</v>
      </c>
      <c r="B49">
        <v>0</v>
      </c>
      <c r="C49">
        <v>87</v>
      </c>
    </row>
    <row r="50" spans="1:3" x14ac:dyDescent="0.35">
      <c r="A50" s="2" t="s">
        <v>148</v>
      </c>
      <c r="B50">
        <v>0</v>
      </c>
      <c r="C50">
        <v>105</v>
      </c>
    </row>
    <row r="51" spans="1:3" x14ac:dyDescent="0.35">
      <c r="A51" s="2" t="s">
        <v>152</v>
      </c>
      <c r="B51">
        <v>62</v>
      </c>
      <c r="C51">
        <v>111</v>
      </c>
    </row>
    <row r="52" spans="1:3" x14ac:dyDescent="0.35">
      <c r="A52" s="2" t="s">
        <v>148</v>
      </c>
      <c r="B52">
        <v>0</v>
      </c>
      <c r="C52">
        <v>107</v>
      </c>
    </row>
    <row r="53" spans="1:3" x14ac:dyDescent="0.35">
      <c r="A53" s="2" t="s">
        <v>150</v>
      </c>
      <c r="B53">
        <v>0</v>
      </c>
      <c r="C53">
        <v>42</v>
      </c>
    </row>
    <row r="54" spans="1:3" x14ac:dyDescent="0.35">
      <c r="A54" s="2" t="s">
        <v>153</v>
      </c>
      <c r="B54">
        <v>0</v>
      </c>
      <c r="C54">
        <v>52</v>
      </c>
    </row>
    <row r="55" spans="1:3" x14ac:dyDescent="0.35">
      <c r="A55" s="2" t="s">
        <v>154</v>
      </c>
      <c r="B55">
        <v>247</v>
      </c>
      <c r="C55">
        <v>290</v>
      </c>
    </row>
    <row r="56" spans="1:3" x14ac:dyDescent="0.35">
      <c r="A56" s="2" t="s">
        <v>155</v>
      </c>
      <c r="B56">
        <v>0</v>
      </c>
      <c r="C56">
        <v>41</v>
      </c>
    </row>
    <row r="57" spans="1:3" x14ac:dyDescent="0.35">
      <c r="A57" s="2" t="s">
        <v>155</v>
      </c>
      <c r="B57">
        <v>0</v>
      </c>
      <c r="C57">
        <v>41</v>
      </c>
    </row>
    <row r="58" spans="1:3" x14ac:dyDescent="0.35">
      <c r="A58" s="2" t="s">
        <v>156</v>
      </c>
      <c r="B58">
        <v>313</v>
      </c>
      <c r="C58">
        <v>380</v>
      </c>
    </row>
    <row r="59" spans="1:3" x14ac:dyDescent="0.35">
      <c r="A59" s="2" t="s">
        <v>157</v>
      </c>
      <c r="B59">
        <v>0</v>
      </c>
      <c r="C59">
        <v>69</v>
      </c>
    </row>
    <row r="60" spans="1:3" x14ac:dyDescent="0.35">
      <c r="A60" s="2" t="s">
        <v>158</v>
      </c>
      <c r="B60">
        <v>0</v>
      </c>
      <c r="C60">
        <v>70</v>
      </c>
    </row>
    <row r="61" spans="1:3" x14ac:dyDescent="0.35">
      <c r="A61" s="2" t="s">
        <v>159</v>
      </c>
      <c r="B61">
        <v>0</v>
      </c>
      <c r="C61">
        <v>61</v>
      </c>
    </row>
    <row r="62" spans="1:3" x14ac:dyDescent="0.35">
      <c r="A62" s="2" t="s">
        <v>159</v>
      </c>
      <c r="B62">
        <v>0</v>
      </c>
      <c r="C62">
        <v>61</v>
      </c>
    </row>
    <row r="63" spans="1:3" x14ac:dyDescent="0.35">
      <c r="A63" s="2" t="s">
        <v>153</v>
      </c>
      <c r="B63">
        <v>0</v>
      </c>
      <c r="C63">
        <v>54</v>
      </c>
    </row>
    <row r="64" spans="1:3" x14ac:dyDescent="0.35">
      <c r="A64" s="2" t="s">
        <v>160</v>
      </c>
      <c r="B64">
        <v>0</v>
      </c>
      <c r="C64">
        <v>61</v>
      </c>
    </row>
    <row r="65" spans="1:3" x14ac:dyDescent="0.35">
      <c r="A65" s="2" t="s">
        <v>160</v>
      </c>
      <c r="B65">
        <v>0</v>
      </c>
      <c r="C65">
        <v>61</v>
      </c>
    </row>
    <row r="66" spans="1:3" x14ac:dyDescent="0.35">
      <c r="A66" s="2" t="s">
        <v>161</v>
      </c>
      <c r="B66">
        <v>0</v>
      </c>
      <c r="C66">
        <v>26</v>
      </c>
    </row>
    <row r="67" spans="1:3" x14ac:dyDescent="0.35">
      <c r="A67" s="2" t="s">
        <v>162</v>
      </c>
      <c r="B67">
        <v>0</v>
      </c>
      <c r="C67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5F33-EAEA-49DC-8706-22525C0A1162}">
  <dimension ref="A1:O23"/>
  <sheetViews>
    <sheetView workbookViewId="0">
      <selection activeCell="K23" sqref="K23"/>
    </sheetView>
  </sheetViews>
  <sheetFormatPr defaultRowHeight="14.5" x14ac:dyDescent="0.35"/>
  <cols>
    <col min="1" max="1" width="56.7265625" customWidth="1"/>
    <col min="6" max="6" width="79.453125" customWidth="1"/>
    <col min="11" max="11" width="51" customWidth="1"/>
  </cols>
  <sheetData>
    <row r="1" spans="1:15" x14ac:dyDescent="0.35">
      <c r="A1" t="s">
        <v>0</v>
      </c>
      <c r="B1">
        <v>619</v>
      </c>
      <c r="C1">
        <v>254</v>
      </c>
      <c r="D1">
        <v>1000</v>
      </c>
      <c r="E1" t="s">
        <v>1</v>
      </c>
      <c r="F1" t="s">
        <v>2</v>
      </c>
      <c r="G1">
        <v>328</v>
      </c>
      <c r="H1">
        <v>433</v>
      </c>
      <c r="I1">
        <v>556</v>
      </c>
      <c r="J1">
        <v>32</v>
      </c>
      <c r="K1" s="1">
        <v>6.9800000000000005E-4</v>
      </c>
      <c r="L1" t="s">
        <v>3</v>
      </c>
      <c r="M1" t="s">
        <v>4</v>
      </c>
      <c r="N1" t="s">
        <v>5</v>
      </c>
      <c r="O1" t="s">
        <v>6</v>
      </c>
    </row>
    <row r="2" spans="1:15" s="2" customFormat="1" x14ac:dyDescent="0.35">
      <c r="A2" s="2" t="s">
        <v>7</v>
      </c>
      <c r="B2" s="2">
        <v>695</v>
      </c>
      <c r="C2" s="2">
        <v>543</v>
      </c>
      <c r="D2" s="2">
        <v>1000</v>
      </c>
      <c r="E2" s="2" t="s">
        <v>1</v>
      </c>
      <c r="F2" s="2" t="s">
        <v>8</v>
      </c>
      <c r="G2" s="2">
        <v>75</v>
      </c>
      <c r="H2" s="2">
        <v>125</v>
      </c>
      <c r="I2" s="2">
        <v>125</v>
      </c>
      <c r="J2" s="2">
        <v>96.1</v>
      </c>
      <c r="K2" s="3">
        <v>1.8900000000000001E-27</v>
      </c>
      <c r="L2" s="2" t="s">
        <v>9</v>
      </c>
      <c r="M2" s="2" t="s">
        <v>10</v>
      </c>
      <c r="N2" s="2" t="s">
        <v>11</v>
      </c>
      <c r="O2" s="2" t="s">
        <v>6</v>
      </c>
    </row>
    <row r="3" spans="1:15" x14ac:dyDescent="0.35">
      <c r="A3" t="s">
        <v>12</v>
      </c>
      <c r="B3">
        <v>546</v>
      </c>
      <c r="C3">
        <v>331</v>
      </c>
      <c r="D3">
        <v>1000</v>
      </c>
      <c r="E3" t="s">
        <v>1</v>
      </c>
      <c r="F3" t="s">
        <v>13</v>
      </c>
      <c r="G3">
        <v>34</v>
      </c>
      <c r="H3">
        <v>101</v>
      </c>
      <c r="I3">
        <v>113</v>
      </c>
      <c r="J3">
        <v>24.7</v>
      </c>
      <c r="K3" s="1">
        <v>2.7500000000000002E-4</v>
      </c>
      <c r="L3" t="s">
        <v>14</v>
      </c>
      <c r="M3" t="s">
        <v>15</v>
      </c>
      <c r="N3" t="s">
        <v>16</v>
      </c>
      <c r="O3" t="s">
        <v>6</v>
      </c>
    </row>
    <row r="4" spans="1:15" x14ac:dyDescent="0.35">
      <c r="A4" t="s">
        <v>17</v>
      </c>
      <c r="B4">
        <v>354</v>
      </c>
      <c r="C4">
        <v>172</v>
      </c>
      <c r="D4">
        <v>1000</v>
      </c>
      <c r="E4" t="s">
        <v>1</v>
      </c>
      <c r="F4" t="s">
        <v>18</v>
      </c>
      <c r="G4">
        <v>48</v>
      </c>
      <c r="H4">
        <v>108</v>
      </c>
      <c r="I4">
        <v>211</v>
      </c>
      <c r="J4">
        <v>29.5</v>
      </c>
      <c r="K4" s="1">
        <v>8.5700000000000001E-4</v>
      </c>
      <c r="L4" t="s">
        <v>19</v>
      </c>
      <c r="M4" t="s">
        <v>20</v>
      </c>
      <c r="N4" t="s">
        <v>21</v>
      </c>
      <c r="O4" t="s">
        <v>6</v>
      </c>
    </row>
    <row r="5" spans="1:15" x14ac:dyDescent="0.35">
      <c r="A5" t="s">
        <v>22</v>
      </c>
      <c r="B5">
        <v>319</v>
      </c>
      <c r="C5">
        <v>5</v>
      </c>
      <c r="D5">
        <v>1000</v>
      </c>
      <c r="E5" t="s">
        <v>1</v>
      </c>
      <c r="F5" t="s">
        <v>23</v>
      </c>
      <c r="G5">
        <v>237</v>
      </c>
      <c r="H5">
        <v>339</v>
      </c>
      <c r="I5">
        <v>506</v>
      </c>
      <c r="J5">
        <v>28</v>
      </c>
      <c r="K5" s="1">
        <v>1.25E-4</v>
      </c>
      <c r="L5" t="s">
        <v>24</v>
      </c>
      <c r="M5" t="s">
        <v>25</v>
      </c>
      <c r="N5" t="s">
        <v>26</v>
      </c>
      <c r="O5" t="s">
        <v>6</v>
      </c>
    </row>
    <row r="6" spans="1:15" x14ac:dyDescent="0.35">
      <c r="A6" t="s">
        <v>27</v>
      </c>
      <c r="B6">
        <v>647</v>
      </c>
      <c r="C6">
        <v>952</v>
      </c>
      <c r="D6">
        <v>1000</v>
      </c>
      <c r="E6" t="s">
        <v>28</v>
      </c>
      <c r="F6" t="s">
        <v>29</v>
      </c>
      <c r="G6">
        <v>17</v>
      </c>
      <c r="H6">
        <v>97</v>
      </c>
      <c r="I6">
        <v>128</v>
      </c>
      <c r="J6">
        <v>27.6</v>
      </c>
      <c r="K6" s="1">
        <v>6.5700000000000003E-4</v>
      </c>
      <c r="L6" t="s">
        <v>30</v>
      </c>
      <c r="M6" t="s">
        <v>31</v>
      </c>
      <c r="N6" t="s">
        <v>32</v>
      </c>
      <c r="O6" t="s">
        <v>6</v>
      </c>
    </row>
    <row r="9" spans="1:15" x14ac:dyDescent="0.35">
      <c r="A9" t="s">
        <v>33</v>
      </c>
      <c r="B9">
        <v>285</v>
      </c>
      <c r="C9">
        <v>812</v>
      </c>
      <c r="D9">
        <v>1000</v>
      </c>
      <c r="E9" t="s">
        <v>28</v>
      </c>
      <c r="F9" t="s">
        <v>34</v>
      </c>
      <c r="G9">
        <v>209</v>
      </c>
      <c r="H9">
        <v>351</v>
      </c>
      <c r="I9">
        <v>465</v>
      </c>
      <c r="J9">
        <v>24</v>
      </c>
      <c r="K9" s="1">
        <v>2.81E-4</v>
      </c>
      <c r="L9" t="s">
        <v>35</v>
      </c>
      <c r="M9" t="s">
        <v>36</v>
      </c>
      <c r="N9" t="s">
        <v>37</v>
      </c>
      <c r="O9" t="s">
        <v>6</v>
      </c>
    </row>
    <row r="10" spans="1:15" s="2" customFormat="1" x14ac:dyDescent="0.35">
      <c r="A10" s="2" t="s">
        <v>38</v>
      </c>
      <c r="B10" s="2">
        <v>747</v>
      </c>
      <c r="C10" s="2">
        <v>902</v>
      </c>
      <c r="D10" s="2">
        <v>1000</v>
      </c>
      <c r="E10" s="2" t="s">
        <v>28</v>
      </c>
      <c r="F10" s="2" t="s">
        <v>39</v>
      </c>
      <c r="G10" s="2">
        <v>1</v>
      </c>
      <c r="H10" s="2">
        <v>52</v>
      </c>
      <c r="I10" s="2">
        <v>84</v>
      </c>
      <c r="J10" s="2">
        <v>94.2</v>
      </c>
      <c r="K10" s="3">
        <v>4.2099999999999998E-28</v>
      </c>
      <c r="L10" s="2" t="s">
        <v>40</v>
      </c>
      <c r="M10" s="2" t="s">
        <v>41</v>
      </c>
      <c r="N10" s="2" t="s">
        <v>42</v>
      </c>
      <c r="O10" s="2" t="s">
        <v>6</v>
      </c>
    </row>
    <row r="11" spans="1:15" x14ac:dyDescent="0.35">
      <c r="A11" t="s">
        <v>43</v>
      </c>
      <c r="B11">
        <v>617</v>
      </c>
      <c r="C11">
        <v>856</v>
      </c>
      <c r="D11">
        <v>1000</v>
      </c>
      <c r="E11" t="s">
        <v>28</v>
      </c>
      <c r="F11" t="s">
        <v>44</v>
      </c>
      <c r="G11">
        <v>12</v>
      </c>
      <c r="H11">
        <v>91</v>
      </c>
      <c r="I11">
        <v>97</v>
      </c>
      <c r="J11">
        <v>25</v>
      </c>
      <c r="K11" s="1">
        <v>5.1400000000000003E-4</v>
      </c>
      <c r="L11" t="s">
        <v>45</v>
      </c>
      <c r="M11" t="s">
        <v>46</v>
      </c>
      <c r="N11" t="s">
        <v>47</v>
      </c>
      <c r="O11" t="s">
        <v>6</v>
      </c>
    </row>
    <row r="12" spans="1:15" x14ac:dyDescent="0.35">
      <c r="A12" t="s">
        <v>48</v>
      </c>
      <c r="B12">
        <v>479</v>
      </c>
      <c r="C12">
        <v>988</v>
      </c>
      <c r="D12">
        <v>1000</v>
      </c>
      <c r="E12" t="s">
        <v>28</v>
      </c>
      <c r="F12" t="s">
        <v>49</v>
      </c>
      <c r="G12">
        <v>101</v>
      </c>
      <c r="H12">
        <v>277</v>
      </c>
      <c r="I12">
        <v>341</v>
      </c>
      <c r="J12">
        <v>27.5</v>
      </c>
      <c r="K12" s="1">
        <v>7.6899999999999999E-5</v>
      </c>
      <c r="L12" t="s">
        <v>50</v>
      </c>
      <c r="M12" t="s">
        <v>51</v>
      </c>
      <c r="N12" t="s">
        <v>52</v>
      </c>
      <c r="O12" t="s">
        <v>6</v>
      </c>
    </row>
    <row r="13" spans="1:15" x14ac:dyDescent="0.35">
      <c r="A13" t="s">
        <v>53</v>
      </c>
      <c r="B13">
        <v>492</v>
      </c>
      <c r="C13">
        <v>340</v>
      </c>
      <c r="D13">
        <v>1000</v>
      </c>
      <c r="E13" t="s">
        <v>1</v>
      </c>
      <c r="F13" t="s">
        <v>54</v>
      </c>
      <c r="G13">
        <v>20</v>
      </c>
      <c r="H13">
        <v>70</v>
      </c>
      <c r="I13">
        <v>116</v>
      </c>
      <c r="J13">
        <v>35.299999999999997</v>
      </c>
      <c r="K13" s="1">
        <v>7.3399999999999995E-4</v>
      </c>
      <c r="L13" t="s">
        <v>9</v>
      </c>
      <c r="M13" t="s">
        <v>55</v>
      </c>
      <c r="N13" t="s">
        <v>56</v>
      </c>
      <c r="O13" t="s">
        <v>6</v>
      </c>
    </row>
    <row r="14" spans="1:15" x14ac:dyDescent="0.35">
      <c r="A14" t="s">
        <v>57</v>
      </c>
      <c r="B14">
        <v>501</v>
      </c>
      <c r="C14">
        <v>379</v>
      </c>
      <c r="D14">
        <v>1000</v>
      </c>
      <c r="E14" t="s">
        <v>1</v>
      </c>
      <c r="F14" t="s">
        <v>58</v>
      </c>
      <c r="G14">
        <v>22</v>
      </c>
      <c r="H14">
        <v>68</v>
      </c>
      <c r="I14">
        <v>74</v>
      </c>
      <c r="J14">
        <v>36.200000000000003</v>
      </c>
      <c r="K14" s="1">
        <v>4.2900000000000002E-4</v>
      </c>
      <c r="L14" t="s">
        <v>59</v>
      </c>
      <c r="M14" t="s">
        <v>60</v>
      </c>
      <c r="N14" t="s">
        <v>61</v>
      </c>
      <c r="O14" t="s">
        <v>6</v>
      </c>
    </row>
    <row r="15" spans="1:15" x14ac:dyDescent="0.35">
      <c r="A15" t="s">
        <v>62</v>
      </c>
      <c r="B15">
        <v>401</v>
      </c>
      <c r="C15">
        <v>535</v>
      </c>
      <c r="D15">
        <v>1000</v>
      </c>
      <c r="E15" t="s">
        <v>28</v>
      </c>
      <c r="F15" t="s">
        <v>63</v>
      </c>
      <c r="G15">
        <v>16</v>
      </c>
      <c r="H15">
        <v>61</v>
      </c>
      <c r="I15">
        <v>93</v>
      </c>
      <c r="J15">
        <v>34.799999999999997</v>
      </c>
      <c r="K15" s="1">
        <v>6.4800000000000003E-4</v>
      </c>
      <c r="L15" t="s">
        <v>64</v>
      </c>
      <c r="M15" t="s">
        <v>65</v>
      </c>
      <c r="N15" t="s">
        <v>66</v>
      </c>
      <c r="O15" t="s">
        <v>6</v>
      </c>
    </row>
    <row r="16" spans="1:15" x14ac:dyDescent="0.35">
      <c r="A16" t="s">
        <v>67</v>
      </c>
      <c r="B16">
        <v>443</v>
      </c>
      <c r="C16">
        <v>279</v>
      </c>
      <c r="D16">
        <v>1000</v>
      </c>
      <c r="E16" t="s">
        <v>1</v>
      </c>
      <c r="F16" t="s">
        <v>68</v>
      </c>
      <c r="G16">
        <v>1</v>
      </c>
      <c r="H16">
        <v>52</v>
      </c>
      <c r="I16">
        <v>62</v>
      </c>
      <c r="J16">
        <v>38.200000000000003</v>
      </c>
      <c r="K16" s="1">
        <v>3.57E-5</v>
      </c>
      <c r="L16" t="s">
        <v>69</v>
      </c>
      <c r="M16" t="s">
        <v>70</v>
      </c>
      <c r="N16" t="s">
        <v>71</v>
      </c>
      <c r="O16" t="s">
        <v>6</v>
      </c>
    </row>
    <row r="17" spans="1:15" x14ac:dyDescent="0.35">
      <c r="A17" t="s">
        <v>72</v>
      </c>
      <c r="B17">
        <v>687</v>
      </c>
      <c r="C17">
        <v>400</v>
      </c>
      <c r="D17">
        <v>1000</v>
      </c>
      <c r="E17" t="s">
        <v>1</v>
      </c>
      <c r="F17" t="s">
        <v>73</v>
      </c>
      <c r="G17">
        <v>184</v>
      </c>
      <c r="H17">
        <v>283</v>
      </c>
      <c r="I17">
        <v>634</v>
      </c>
      <c r="J17">
        <v>27.5</v>
      </c>
      <c r="K17" s="1">
        <v>7.2499999999999995E-4</v>
      </c>
      <c r="L17" t="s">
        <v>74</v>
      </c>
      <c r="M17" t="s">
        <v>75</v>
      </c>
      <c r="N17" t="s">
        <v>76</v>
      </c>
      <c r="O17" t="s">
        <v>6</v>
      </c>
    </row>
    <row r="18" spans="1:15" x14ac:dyDescent="0.35">
      <c r="A18" t="s">
        <v>77</v>
      </c>
      <c r="B18">
        <v>575</v>
      </c>
      <c r="C18">
        <v>321</v>
      </c>
      <c r="D18">
        <v>1000</v>
      </c>
      <c r="E18" t="s">
        <v>1</v>
      </c>
      <c r="F18" t="s">
        <v>78</v>
      </c>
      <c r="G18">
        <v>54</v>
      </c>
      <c r="H18">
        <v>140</v>
      </c>
      <c r="I18">
        <v>651</v>
      </c>
      <c r="J18">
        <v>27.8</v>
      </c>
      <c r="K18" s="1">
        <v>3.3099999999999998E-5</v>
      </c>
      <c r="L18" t="s">
        <v>79</v>
      </c>
      <c r="M18" t="s">
        <v>80</v>
      </c>
      <c r="N18" t="s">
        <v>81</v>
      </c>
      <c r="O18" t="s">
        <v>6</v>
      </c>
    </row>
    <row r="19" spans="1:15" x14ac:dyDescent="0.35">
      <c r="A19" t="s">
        <v>82</v>
      </c>
      <c r="B19">
        <v>309</v>
      </c>
      <c r="C19">
        <v>974</v>
      </c>
      <c r="D19">
        <v>1000</v>
      </c>
      <c r="E19" t="s">
        <v>28</v>
      </c>
      <c r="F19" t="s">
        <v>83</v>
      </c>
      <c r="G19">
        <v>137</v>
      </c>
      <c r="H19">
        <v>333</v>
      </c>
      <c r="I19">
        <v>436</v>
      </c>
      <c r="J19">
        <v>22.2</v>
      </c>
      <c r="K19" s="1">
        <v>5.1800000000000004E-6</v>
      </c>
      <c r="L19" t="s">
        <v>84</v>
      </c>
      <c r="M19" t="s">
        <v>85</v>
      </c>
      <c r="N19" t="s">
        <v>86</v>
      </c>
      <c r="O19" t="s">
        <v>6</v>
      </c>
    </row>
    <row r="20" spans="1:15" x14ac:dyDescent="0.35">
      <c r="A20" t="s">
        <v>87</v>
      </c>
      <c r="B20">
        <v>538</v>
      </c>
      <c r="C20">
        <v>951</v>
      </c>
      <c r="D20">
        <v>1000</v>
      </c>
      <c r="E20" t="s">
        <v>28</v>
      </c>
      <c r="F20" t="s">
        <v>88</v>
      </c>
      <c r="G20">
        <v>9</v>
      </c>
      <c r="H20">
        <v>142</v>
      </c>
      <c r="I20">
        <v>218</v>
      </c>
      <c r="J20">
        <v>23.2</v>
      </c>
      <c r="K20" s="1">
        <v>8.5599999999999994E-5</v>
      </c>
      <c r="L20" t="s">
        <v>89</v>
      </c>
      <c r="M20" t="s">
        <v>90</v>
      </c>
      <c r="N20" t="s">
        <v>91</v>
      </c>
      <c r="O20" t="s">
        <v>6</v>
      </c>
    </row>
    <row r="23" spans="1:15" x14ac:dyDescent="0.35">
      <c r="K23" s="1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Shen</dc:creator>
  <cp:lastModifiedBy>Jessica Shen</cp:lastModifiedBy>
  <dcterms:created xsi:type="dcterms:W3CDTF">2025-01-27T15:55:41Z</dcterms:created>
  <dcterms:modified xsi:type="dcterms:W3CDTF">2025-01-31T19:13:56Z</dcterms:modified>
</cp:coreProperties>
</file>